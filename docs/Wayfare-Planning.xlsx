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backlog" sheetId="1" state="visible" r:id="rId1"/>
    <sheet name="Sprints" sheetId="2" state="visible" r:id="rId2"/>
    <sheet name="Milestones" sheetId="3" state="visible" r:id="rId3"/>
    <sheet name="Package plan" sheetId="4" state="visible" r:id="rId4"/>
    <sheet name="Package cards" sheetId="5" state="visible" r:id="rId5"/>
    <sheet name="Risk register" sheetId="6" state="visible" r:id="rId6"/>
    <sheet name="Team" sheetId="7" state="visible" r:id="rId7"/>
  </sheets>
  <definedNames>
    <definedName name="_xlnm._FilterDatabase" localSheetId="0" hidden="1">'Sprint backlog'!$A$4:$J$71</definedName>
    <definedName name="_xlnm._FilterDatabase" localSheetId="4" hidden="1">'Package cards'!$A$4:$M$42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 mmm yyyy"/>
    <numFmt numFmtId="166" formatCode="ddd d mmm yyyy"/>
  </numFmts>
  <fonts count="9">
    <font>
      <name val="Calibri"/>
      <family val="2"/>
      <color theme="1"/>
      <sz val="11"/>
      <scheme val="minor"/>
    </font>
    <font>
      <name val="Arial"/>
      <b val="1"/>
      <color rgb="0014171A"/>
      <sz val="14"/>
    </font>
    <font>
      <name val="Arial"/>
      <i val="1"/>
      <color rgb="005F6770"/>
      <sz val="9"/>
    </font>
    <font>
      <name val="Arial"/>
      <b val="1"/>
      <color rgb="00FFFFFF"/>
      <sz val="10"/>
    </font>
    <font>
      <name val="Arial"/>
      <color rgb="0014171A"/>
      <sz val="10"/>
    </font>
    <font>
      <name val="Arial"/>
      <color rgb="001F4FB8"/>
      <sz val="10"/>
      <u val="single"/>
    </font>
    <font>
      <name val="Arial"/>
      <b val="1"/>
      <color rgb="0014171A"/>
      <sz val="10"/>
    </font>
    <font>
      <name val="Arial"/>
      <b val="1"/>
      <color rgb="0014171A"/>
      <sz val="11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4171A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bottom style="thin">
        <color rgb="00D9DD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/>
    </xf>
    <xf numFmtId="1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9" fontId="4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165" fontId="6" fillId="0" borderId="1" applyAlignment="1" pivotButton="0" quotePrefix="0" xfId="0">
      <alignment vertical="top"/>
    </xf>
    <xf numFmtId="1" fontId="6" fillId="0" borderId="1" applyAlignment="1" pivotButton="0" quotePrefix="0" xfId="0">
      <alignment horizontal="center" vertical="top"/>
    </xf>
    <xf numFmtId="9" fontId="6" fillId="0" borderId="1" applyAlignment="1" pivotButton="0" quotePrefix="0" xfId="0">
      <alignment horizontal="center" vertical="top"/>
    </xf>
    <xf numFmtId="166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166" fontId="6" fillId="0" borderId="1" applyAlignment="1" pivotButton="0" quotePrefix="0" xfId="0">
      <alignment vertical="top"/>
    </xf>
    <xf numFmtId="0" fontId="7" fillId="0" borderId="0" pivotButton="0" quotePrefix="0" xfId="0"/>
    <xf numFmtId="0" fontId="3" fillId="2" borderId="0" pivotButton="0" quotePrefix="0" xfId="0"/>
    <xf numFmtId="1" fontId="8" fillId="3" borderId="1" applyAlignment="1" pivotButton="0" quotePrefix="0" xfId="0">
      <alignment horizontal="center" vertical="top"/>
    </xf>
  </cellXfs>
  <cellStyles count="1">
    <cellStyle name="Normal" xfId="0" builtinId="0" hidden="0"/>
  </cellStyles>
  <dxfs count="6">
    <dxf>
      <fill>
        <patternFill patternType="solid">
          <fgColor rgb="00E2F3EA"/>
          <bgColor rgb="00E2F3EA"/>
        </patternFill>
      </fill>
    </dxf>
    <dxf>
      <fill>
        <patternFill patternType="solid">
          <fgColor rgb="00FBE4E0"/>
          <bgColor rgb="00FBE4E0"/>
        </patternFill>
      </fill>
    </dxf>
    <dxf>
      <font>
        <name val="Arial"/>
        <b val="1"/>
        <color rgb="00A12C1E"/>
      </font>
    </dxf>
    <dxf>
      <font>
        <name val="Arial"/>
        <b val="1"/>
        <color rgb="00A12C1E"/>
      </font>
      <fill>
        <patternFill patternType="solid">
          <fgColor rgb="00FBE4E0"/>
          <bgColor rgb="00FBE4E0"/>
        </patternFill>
      </fill>
    </dxf>
    <dxf>
      <font>
        <name val="Arial"/>
        <b val="1"/>
        <color rgb="007A5200"/>
      </font>
      <fill>
        <patternFill patternType="solid">
          <fgColor rgb="00FBF0D6"/>
          <bgColor rgb="00FBF0D6"/>
        </patternFill>
      </fill>
    </dxf>
    <dxf>
      <font>
        <name val="Arial"/>
        <b val="1"/>
        <color rgb="0012603A"/>
      </font>
      <fill>
        <patternFill patternType="solid">
          <fgColor rgb="00E2F3EA"/>
          <bgColor rgb="00E2F3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ello.com/c/pbxrXGua" TargetMode="External" Id="rId1" /><Relationship Type="http://schemas.openxmlformats.org/officeDocument/2006/relationships/hyperlink" Target="https://trello.com/c/z2inEAyY" TargetMode="External" Id="rId2" /><Relationship Type="http://schemas.openxmlformats.org/officeDocument/2006/relationships/hyperlink" Target="https://trello.com/c/poem249a" TargetMode="External" Id="rId3" /><Relationship Type="http://schemas.openxmlformats.org/officeDocument/2006/relationships/hyperlink" Target="https://trello.com/c/Y49jBrQV" TargetMode="External" Id="rId4" /><Relationship Type="http://schemas.openxmlformats.org/officeDocument/2006/relationships/hyperlink" Target="https://trello.com/c/1aZ2m2yk" TargetMode="External" Id="rId5" /><Relationship Type="http://schemas.openxmlformats.org/officeDocument/2006/relationships/hyperlink" Target="https://trello.com/c/E47IsomR" TargetMode="External" Id="rId6" /><Relationship Type="http://schemas.openxmlformats.org/officeDocument/2006/relationships/hyperlink" Target="https://trello.com/c/IZKHleJT" TargetMode="External" Id="rId7" /><Relationship Type="http://schemas.openxmlformats.org/officeDocument/2006/relationships/hyperlink" Target="https://trello.com/c/OfLrs972" TargetMode="External" Id="rId8" /><Relationship Type="http://schemas.openxmlformats.org/officeDocument/2006/relationships/hyperlink" Target="https://trello.com/c/LiJgQ3Pm" TargetMode="External" Id="rId9" /><Relationship Type="http://schemas.openxmlformats.org/officeDocument/2006/relationships/hyperlink" Target="https://trello.com/c/qKKuvXoH" TargetMode="External" Id="rId10" /><Relationship Type="http://schemas.openxmlformats.org/officeDocument/2006/relationships/hyperlink" Target="https://trello.com/c/oxyW7ctG" TargetMode="External" Id="rId11" /><Relationship Type="http://schemas.openxmlformats.org/officeDocument/2006/relationships/hyperlink" Target="https://trello.com/c/A54TWQNu" TargetMode="External" Id="rId12" /><Relationship Type="http://schemas.openxmlformats.org/officeDocument/2006/relationships/hyperlink" Target="https://trello.com/c/EZ9lnIYX" TargetMode="External" Id="rId13" /><Relationship Type="http://schemas.openxmlformats.org/officeDocument/2006/relationships/hyperlink" Target="https://trello.com/c/h3qVbUWz" TargetMode="External" Id="rId14" /><Relationship Type="http://schemas.openxmlformats.org/officeDocument/2006/relationships/hyperlink" Target="https://trello.com/c/K72zYdgA" TargetMode="External" Id="rId15" /><Relationship Type="http://schemas.openxmlformats.org/officeDocument/2006/relationships/hyperlink" Target="https://trello.com/c/6yknThto" TargetMode="External" Id="rId16" /><Relationship Type="http://schemas.openxmlformats.org/officeDocument/2006/relationships/hyperlink" Target="https://trello.com/c/IIN7A8qu" TargetMode="External" Id="rId17" /><Relationship Type="http://schemas.openxmlformats.org/officeDocument/2006/relationships/hyperlink" Target="https://trello.com/c/vEIV10KO" TargetMode="External" Id="rId18" /><Relationship Type="http://schemas.openxmlformats.org/officeDocument/2006/relationships/hyperlink" Target="https://trello.com/c/T825V92l" TargetMode="External" Id="rId19" /><Relationship Type="http://schemas.openxmlformats.org/officeDocument/2006/relationships/hyperlink" Target="https://trello.com/c/Vn43DkQX" TargetMode="External" Id="rId20" /><Relationship Type="http://schemas.openxmlformats.org/officeDocument/2006/relationships/hyperlink" Target="https://trello.com/c/CYEYdoCJ" TargetMode="External" Id="rId21" /><Relationship Type="http://schemas.openxmlformats.org/officeDocument/2006/relationships/hyperlink" Target="https://trello.com/c/QP40LNBB" TargetMode="External" Id="rId22" /><Relationship Type="http://schemas.openxmlformats.org/officeDocument/2006/relationships/hyperlink" Target="https://trello.com/c/jQtCx9ab" TargetMode="External" Id="rId23" /><Relationship Type="http://schemas.openxmlformats.org/officeDocument/2006/relationships/hyperlink" Target="https://trello.com/c/TExOruDr" TargetMode="External" Id="rId24" /><Relationship Type="http://schemas.openxmlformats.org/officeDocument/2006/relationships/hyperlink" Target="https://trello.com/c/0pL339MB" TargetMode="External" Id="rId25" /><Relationship Type="http://schemas.openxmlformats.org/officeDocument/2006/relationships/hyperlink" Target="https://trello.com/c/WPmSJB3H" TargetMode="External" Id="rId26" /><Relationship Type="http://schemas.openxmlformats.org/officeDocument/2006/relationships/hyperlink" Target="https://trello.com/c/SdEdmdWh" TargetMode="External" Id="rId27" /><Relationship Type="http://schemas.openxmlformats.org/officeDocument/2006/relationships/hyperlink" Target="https://trello.com/c/YnKxkEPO" TargetMode="External" Id="rId28" /><Relationship Type="http://schemas.openxmlformats.org/officeDocument/2006/relationships/hyperlink" Target="https://trello.com/c/ZNfG4BXB" TargetMode="External" Id="rId29" /><Relationship Type="http://schemas.openxmlformats.org/officeDocument/2006/relationships/hyperlink" Target="https://trello.com/c/HPVKFVOq" TargetMode="External" Id="rId30" /><Relationship Type="http://schemas.openxmlformats.org/officeDocument/2006/relationships/hyperlink" Target="https://trello.com/c/FDMITjOf" TargetMode="External" Id="rId31" /><Relationship Type="http://schemas.openxmlformats.org/officeDocument/2006/relationships/hyperlink" Target="https://trello.com/c/ewzo1CUj" TargetMode="External" Id="rId32" /><Relationship Type="http://schemas.openxmlformats.org/officeDocument/2006/relationships/hyperlink" Target="https://trello.com/c/sYUsWQ6o" TargetMode="External" Id="rId33" /><Relationship Type="http://schemas.openxmlformats.org/officeDocument/2006/relationships/hyperlink" Target="https://trello.com/c/kU0U0Ms6" TargetMode="External" Id="rId34" /><Relationship Type="http://schemas.openxmlformats.org/officeDocument/2006/relationships/hyperlink" Target="https://trello.com/c/zesf9oYV" TargetMode="External" Id="rId35" /><Relationship Type="http://schemas.openxmlformats.org/officeDocument/2006/relationships/hyperlink" Target="https://trello.com/c/gEnSeHBT" TargetMode="External" Id="rId36" /><Relationship Type="http://schemas.openxmlformats.org/officeDocument/2006/relationships/hyperlink" Target="https://trello.com/c/OJIHKKam" TargetMode="External" Id="rId37" /><Relationship Type="http://schemas.openxmlformats.org/officeDocument/2006/relationships/hyperlink" Target="https://trello.com/c/SLynyBL4" TargetMode="External" Id="rId38" /><Relationship Type="http://schemas.openxmlformats.org/officeDocument/2006/relationships/hyperlink" Target="https://trello.com/c/8O9KrEim" TargetMode="External" Id="rId39" /><Relationship Type="http://schemas.openxmlformats.org/officeDocument/2006/relationships/hyperlink" Target="https://trello.com/c/WtUZaQGB" TargetMode="External" Id="rId40" /><Relationship Type="http://schemas.openxmlformats.org/officeDocument/2006/relationships/hyperlink" Target="https://trello.com/c/7PbQrPyP" TargetMode="External" Id="rId41" /><Relationship Type="http://schemas.openxmlformats.org/officeDocument/2006/relationships/hyperlink" Target="https://trello.com/c/cvPQAwAl" TargetMode="External" Id="rId42" /><Relationship Type="http://schemas.openxmlformats.org/officeDocument/2006/relationships/hyperlink" Target="https://trello.com/c/yHDCuwF9" TargetMode="External" Id="rId43" /><Relationship Type="http://schemas.openxmlformats.org/officeDocument/2006/relationships/hyperlink" Target="https://trello.com/c/yY7HQGmO" TargetMode="External" Id="rId44" /><Relationship Type="http://schemas.openxmlformats.org/officeDocument/2006/relationships/hyperlink" Target="https://trello.com/c/lI3MsePw" TargetMode="External" Id="rId45" /><Relationship Type="http://schemas.openxmlformats.org/officeDocument/2006/relationships/hyperlink" Target="https://trello.com/c/TDfcLpj3" TargetMode="External" Id="rId46" /><Relationship Type="http://schemas.openxmlformats.org/officeDocument/2006/relationships/hyperlink" Target="https://trello.com/c/Gba8Blg4" TargetMode="External" Id="rId47" /><Relationship Type="http://schemas.openxmlformats.org/officeDocument/2006/relationships/hyperlink" Target="https://trello.com/c/LGP4xh0T" TargetMode="External" Id="rId48" /><Relationship Type="http://schemas.openxmlformats.org/officeDocument/2006/relationships/hyperlink" Target="https://trello.com/c/0HQMY2zr" TargetMode="External" Id="rId49" /><Relationship Type="http://schemas.openxmlformats.org/officeDocument/2006/relationships/hyperlink" Target="https://trello.com/c/EQs9Ose5" TargetMode="External" Id="rId50" /><Relationship Type="http://schemas.openxmlformats.org/officeDocument/2006/relationships/hyperlink" Target="https://trello.com/c/A1ebSNFP" TargetMode="External" Id="rId51" /><Relationship Type="http://schemas.openxmlformats.org/officeDocument/2006/relationships/hyperlink" Target="https://trello.com/c/3NdSl3Az" TargetMode="External" Id="rId52" /><Relationship Type="http://schemas.openxmlformats.org/officeDocument/2006/relationships/hyperlink" Target="https://trello.com/c/EkeVUfMH" TargetMode="External" Id="rId53" /><Relationship Type="http://schemas.openxmlformats.org/officeDocument/2006/relationships/hyperlink" Target="https://trello.com/c/fhxihmyz" TargetMode="External" Id="rId54" /><Relationship Type="http://schemas.openxmlformats.org/officeDocument/2006/relationships/hyperlink" Target="https://trello.com/c/lw0foecX" TargetMode="External" Id="rId55" /><Relationship Type="http://schemas.openxmlformats.org/officeDocument/2006/relationships/hyperlink" Target="https://trello.com/c/CNo7iQOy" TargetMode="External" Id="rId56" /><Relationship Type="http://schemas.openxmlformats.org/officeDocument/2006/relationships/hyperlink" Target="https://trello.com/c/JUUM49D7" TargetMode="External" Id="rId57" /><Relationship Type="http://schemas.openxmlformats.org/officeDocument/2006/relationships/hyperlink" Target="https://trello.com/c/YIya8MUK" TargetMode="External" Id="rId58" /><Relationship Type="http://schemas.openxmlformats.org/officeDocument/2006/relationships/hyperlink" Target="https://trello.com/c/01CM7B17" TargetMode="External" Id="rId59" /><Relationship Type="http://schemas.openxmlformats.org/officeDocument/2006/relationships/hyperlink" Target="https://trello.com/c/mZVKaGMl" TargetMode="External" Id="rId60" /><Relationship Type="http://schemas.openxmlformats.org/officeDocument/2006/relationships/hyperlink" Target="https://trello.com/c/Vwhs7g9J" TargetMode="External" Id="rId61" /><Relationship Type="http://schemas.openxmlformats.org/officeDocument/2006/relationships/hyperlink" Target="https://trello.com/c/kvaM6AD2" TargetMode="External" Id="rId62" /><Relationship Type="http://schemas.openxmlformats.org/officeDocument/2006/relationships/hyperlink" Target="https://trello.com/c/mD7RNnDy" TargetMode="External" Id="rId63" /><Relationship Type="http://schemas.openxmlformats.org/officeDocument/2006/relationships/hyperlink" Target="https://trello.com/c/ErdjjFYd" TargetMode="External" Id="rId64" /><Relationship Type="http://schemas.openxmlformats.org/officeDocument/2006/relationships/hyperlink" Target="https://trello.com/c/o2jdTlZt" TargetMode="External" Id="rId65" /><Relationship Type="http://schemas.openxmlformats.org/officeDocument/2006/relationships/hyperlink" Target="https://trello.com/c/9UE8HTBT" TargetMode="External" Id="rId66" /><Relationship Type="http://schemas.openxmlformats.org/officeDocument/2006/relationships/hyperlink" Target="https://trello.com/c/nw3eoCRm" TargetMode="External" Id="rId67" /></Relationships>
</file>

<file path=xl/worksheets/_rels/sheet3.xml.rels><Relationships xmlns="http://schemas.openxmlformats.org/package/2006/relationships"><Relationship Type="http://schemas.openxmlformats.org/officeDocument/2006/relationships/hyperlink" Target="https://trello.com/c/EZ9lnIYX" TargetMode="External" Id="rId1" /><Relationship Type="http://schemas.openxmlformats.org/officeDocument/2006/relationships/hyperlink" Target="https://trello.com/c/YnKxkEPO" TargetMode="External" Id="rId2" /><Relationship Type="http://schemas.openxmlformats.org/officeDocument/2006/relationships/hyperlink" Target="https://trello.com/c/ErdjjFYd" TargetMode="External" Id="rId3" /><Relationship Type="http://schemas.openxmlformats.org/officeDocument/2006/relationships/hyperlink" Target="https://trello.com/c/nw3eoCR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8" customWidth="1" min="3" max="3"/>
    <col width="30" customWidth="1" min="4" max="4"/>
    <col width="26" customWidth="1" min="5" max="5"/>
    <col width="13" customWidth="1" min="6" max="6"/>
    <col width="13" customWidth="1" min="7" max="7"/>
    <col width="7" customWidth="1" min="8" max="8"/>
    <col width="9" customWidth="1" min="9" max="9"/>
    <col width="32" customWidth="1" min="10" max="10"/>
  </cols>
  <sheetData>
    <row r="1">
      <c r="A1" s="1" t="inlineStr">
        <is>
          <t>Wayfare: sprint backlog</t>
        </is>
      </c>
    </row>
    <row r="2">
      <c r="A2" s="2" t="inlineStr">
        <is>
          <t>Source: Trello board https://trello.com/b/MFhbwJxe/wayfare, read on 15 Oct 2026. One row per card, in board order. Status is Done when the due date is ticked complete on the card. Days = Due - Start + 1.</t>
        </is>
      </c>
    </row>
    <row r="4" ht="20" customHeight="1">
      <c r="A4" s="3" t="inlineStr">
        <is>
          <t>WBS</t>
        </is>
      </c>
      <c r="B4" s="3" t="inlineStr">
        <is>
          <t>Sprint</t>
        </is>
      </c>
      <c r="C4" s="3" t="inlineStr">
        <is>
          <t>Card</t>
        </is>
      </c>
      <c r="D4" s="3" t="inlineStr">
        <is>
          <t>Labels</t>
        </is>
      </c>
      <c r="E4" s="3" t="inlineStr">
        <is>
          <t>Members</t>
        </is>
      </c>
      <c r="F4" s="3" t="inlineStr">
        <is>
          <t>Start</t>
        </is>
      </c>
      <c r="G4" s="3" t="inlineStr">
        <is>
          <t>Due</t>
        </is>
      </c>
      <c r="H4" s="3" t="inlineStr">
        <is>
          <t>Days</t>
        </is>
      </c>
      <c r="I4" s="3" t="inlineStr">
        <is>
          <t>Status</t>
        </is>
      </c>
      <c r="J4" s="3" t="inlineStr">
        <is>
          <t>Trello card</t>
        </is>
      </c>
    </row>
    <row r="5">
      <c r="A5" s="4" t="inlineStr">
        <is>
          <t>1.1</t>
        </is>
      </c>
      <c r="B5" s="4" t="inlineStr">
        <is>
          <t>Sprint 1</t>
        </is>
      </c>
      <c r="C5" s="5" t="inlineStr">
        <is>
          <t>Set up GitHub and add project members</t>
        </is>
      </c>
      <c r="D5" s="5" t="inlineStr"/>
      <c r="E5" s="5" t="inlineStr">
        <is>
          <t>Kerollos</t>
        </is>
      </c>
      <c r="F5" s="6" t="n">
        <v>46288</v>
      </c>
      <c r="G5" s="6" t="n">
        <v>46289</v>
      </c>
      <c r="H5" s="7">
        <f>G5-F5+1</f>
        <v/>
      </c>
      <c r="I5" s="4" t="inlineStr">
        <is>
          <t>Done</t>
        </is>
      </c>
      <c r="J5" s="8" t="inlineStr">
        <is>
          <t>https://trello.com/c/pbxrXGua</t>
        </is>
      </c>
    </row>
    <row r="6">
      <c r="A6" s="4" t="inlineStr">
        <is>
          <t>1.2</t>
        </is>
      </c>
      <c r="B6" s="4" t="inlineStr">
        <is>
          <t>Sprint 1</t>
        </is>
      </c>
      <c r="C6" s="5" t="inlineStr">
        <is>
          <t>Project requirements</t>
        </is>
      </c>
      <c r="D6" s="5" t="inlineStr"/>
      <c r="E6" s="5" t="inlineStr">
        <is>
          <t>Whole team</t>
        </is>
      </c>
      <c r="F6" s="6" t="n">
        <v>46289</v>
      </c>
      <c r="G6" s="6" t="n">
        <v>46292</v>
      </c>
      <c r="H6" s="7">
        <f>G6-F6+1</f>
        <v/>
      </c>
      <c r="I6" s="4" t="inlineStr">
        <is>
          <t>Done</t>
        </is>
      </c>
      <c r="J6" s="8" t="inlineStr">
        <is>
          <t>https://trello.com/c/z2inEAyY</t>
        </is>
      </c>
    </row>
    <row r="7">
      <c r="A7" s="4" t="inlineStr">
        <is>
          <t>1.3</t>
        </is>
      </c>
      <c r="B7" s="4" t="inlineStr">
        <is>
          <t>Sprint 1</t>
        </is>
      </c>
      <c r="C7" s="5" t="inlineStr">
        <is>
          <t>Choose the web stack</t>
        </is>
      </c>
      <c r="D7" s="5" t="inlineStr"/>
      <c r="E7" s="5" t="inlineStr">
        <is>
          <t>Whole team</t>
        </is>
      </c>
      <c r="F7" s="6" t="n">
        <v>46292</v>
      </c>
      <c r="G7" s="6" t="n">
        <v>46292</v>
      </c>
      <c r="H7" s="7">
        <f>G7-F7+1</f>
        <v/>
      </c>
      <c r="I7" s="4" t="inlineStr">
        <is>
          <t>Done</t>
        </is>
      </c>
      <c r="J7" s="8" t="inlineStr">
        <is>
          <t>https://trello.com/c/poem249a</t>
        </is>
      </c>
    </row>
    <row r="8">
      <c r="A8" s="4" t="inlineStr">
        <is>
          <t>1.4</t>
        </is>
      </c>
      <c r="B8" s="4" t="inlineStr">
        <is>
          <t>Sprint 1</t>
        </is>
      </c>
      <c r="C8" s="5" t="inlineStr">
        <is>
          <t>Determine the project structure</t>
        </is>
      </c>
      <c r="D8" s="5" t="inlineStr"/>
      <c r="E8" s="5" t="inlineStr">
        <is>
          <t>Whole team</t>
        </is>
      </c>
      <c r="F8" s="6" t="n">
        <v>46292</v>
      </c>
      <c r="G8" s="6" t="n">
        <v>46292</v>
      </c>
      <c r="H8" s="7">
        <f>G8-F8+1</f>
        <v/>
      </c>
      <c r="I8" s="4" t="inlineStr">
        <is>
          <t>Done</t>
        </is>
      </c>
      <c r="J8" s="8" t="inlineStr">
        <is>
          <t>https://trello.com/c/Y49jBrQV</t>
        </is>
      </c>
    </row>
    <row r="9">
      <c r="A9" s="4" t="inlineStr">
        <is>
          <t>1.5</t>
        </is>
      </c>
      <c r="B9" s="4" t="inlineStr">
        <is>
          <t>Sprint 1</t>
        </is>
      </c>
      <c r="C9" s="5" t="inlineStr">
        <is>
          <t>Front-end wireframe</t>
        </is>
      </c>
      <c r="D9" s="5" t="inlineStr">
        <is>
          <t>Integrating with Frontend</t>
        </is>
      </c>
      <c r="E9" s="5" t="inlineStr">
        <is>
          <t>Abdelrahman</t>
        </is>
      </c>
      <c r="F9" s="6" t="n">
        <v>46292</v>
      </c>
      <c r="G9" s="6" t="n">
        <v>46295</v>
      </c>
      <c r="H9" s="7">
        <f>G9-F9+1</f>
        <v/>
      </c>
      <c r="I9" s="4" t="inlineStr">
        <is>
          <t>Done</t>
        </is>
      </c>
      <c r="J9" s="8" t="inlineStr">
        <is>
          <t>https://trello.com/c/1aZ2m2yk</t>
        </is>
      </c>
    </row>
    <row r="10">
      <c r="A10" s="4" t="inlineStr">
        <is>
          <t>1.6</t>
        </is>
      </c>
      <c r="B10" s="4" t="inlineStr">
        <is>
          <t>Sprint 1</t>
        </is>
      </c>
      <c r="C10" s="5" t="inlineStr">
        <is>
          <t>Front-end review and notes</t>
        </is>
      </c>
      <c r="D10" s="5" t="inlineStr">
        <is>
          <t>Integrating with Frontend, Testing</t>
        </is>
      </c>
      <c r="E10" s="5" t="inlineStr">
        <is>
          <t>Mina, Kerollos</t>
        </is>
      </c>
      <c r="F10" s="6" t="n">
        <v>46295</v>
      </c>
      <c r="G10" s="6" t="n">
        <v>46298</v>
      </c>
      <c r="H10" s="7">
        <f>G10-F10+1</f>
        <v/>
      </c>
      <c r="I10" s="4" t="inlineStr">
        <is>
          <t>Done</t>
        </is>
      </c>
      <c r="J10" s="8" t="inlineStr">
        <is>
          <t>https://trello.com/c/E47IsomR</t>
        </is>
      </c>
    </row>
    <row r="11">
      <c r="A11" s="4" t="inlineStr">
        <is>
          <t>2.1</t>
        </is>
      </c>
      <c r="B11" s="4" t="inlineStr">
        <is>
          <t>Sprint 2</t>
        </is>
      </c>
      <c r="C11" s="5" t="inlineStr">
        <is>
          <t>Business flow and requirements</t>
        </is>
      </c>
      <c r="D11" s="5" t="inlineStr"/>
      <c r="E11" s="5" t="inlineStr">
        <is>
          <t>Whole team</t>
        </is>
      </c>
      <c r="F11" s="6" t="n">
        <v>46298</v>
      </c>
      <c r="G11" s="6" t="n">
        <v>46298</v>
      </c>
      <c r="H11" s="7">
        <f>G11-F11+1</f>
        <v/>
      </c>
      <c r="I11" s="4" t="inlineStr">
        <is>
          <t>Done</t>
        </is>
      </c>
      <c r="J11" s="8" t="inlineStr">
        <is>
          <t>https://trello.com/c/IZKHleJT</t>
        </is>
      </c>
    </row>
    <row r="12">
      <c r="A12" s="4" t="inlineStr">
        <is>
          <t>2.2</t>
        </is>
      </c>
      <c r="B12" s="4" t="inlineStr">
        <is>
          <t>Sprint 2</t>
        </is>
      </c>
      <c r="C12" s="5" t="inlineStr">
        <is>
          <t>Entities and their attributes</t>
        </is>
      </c>
      <c r="D12" s="5" t="inlineStr"/>
      <c r="E12" s="5" t="inlineStr">
        <is>
          <t>Kerollos</t>
        </is>
      </c>
      <c r="F12" s="6" t="n">
        <v>46298</v>
      </c>
      <c r="G12" s="6" t="n">
        <v>46299</v>
      </c>
      <c r="H12" s="7">
        <f>G12-F12+1</f>
        <v/>
      </c>
      <c r="I12" s="4" t="inlineStr">
        <is>
          <t>Done</t>
        </is>
      </c>
      <c r="J12" s="8" t="inlineStr">
        <is>
          <t>https://trello.com/c/OfLrs972</t>
        </is>
      </c>
    </row>
    <row r="13">
      <c r="A13" s="4" t="inlineStr">
        <is>
          <t>2.3</t>
        </is>
      </c>
      <c r="B13" s="4" t="inlineStr">
        <is>
          <t>Sprint 2</t>
        </is>
      </c>
      <c r="C13" s="5" t="inlineStr">
        <is>
          <t>Install the required NuGet packages</t>
        </is>
      </c>
      <c r="D13" s="5" t="inlineStr"/>
      <c r="E13" s="5" t="inlineStr">
        <is>
          <t>Mina, Kerollos</t>
        </is>
      </c>
      <c r="F13" s="6" t="n">
        <v>46299</v>
      </c>
      <c r="G13" s="6" t="n">
        <v>46299</v>
      </c>
      <c r="H13" s="7">
        <f>G13-F13+1</f>
        <v/>
      </c>
      <c r="I13" s="4" t="inlineStr">
        <is>
          <t>Done</t>
        </is>
      </c>
      <c r="J13" s="8" t="inlineStr">
        <is>
          <t>https://trello.com/c/LiJgQ3Pm</t>
        </is>
      </c>
    </row>
    <row r="14">
      <c r="A14" s="4" t="inlineStr">
        <is>
          <t>2.4</t>
        </is>
      </c>
      <c r="B14" s="4" t="inlineStr">
        <is>
          <t>Sprint 2</t>
        </is>
      </c>
      <c r="C14" s="5" t="inlineStr">
        <is>
          <t>ERD and its documentation</t>
        </is>
      </c>
      <c r="D14" s="5" t="inlineStr">
        <is>
          <t>Database</t>
        </is>
      </c>
      <c r="E14" s="5" t="inlineStr">
        <is>
          <t>Mina</t>
        </is>
      </c>
      <c r="F14" s="6" t="n">
        <v>46300</v>
      </c>
      <c r="G14" s="6" t="n">
        <v>46302</v>
      </c>
      <c r="H14" s="7">
        <f>G14-F14+1</f>
        <v/>
      </c>
      <c r="I14" s="4" t="inlineStr">
        <is>
          <t>Done</t>
        </is>
      </c>
      <c r="J14" s="8" t="inlineStr">
        <is>
          <t>https://trello.com/c/qKKuvXoH</t>
        </is>
      </c>
    </row>
    <row r="15">
      <c r="A15" s="4" t="inlineStr">
        <is>
          <t>2.5</t>
        </is>
      </c>
      <c r="B15" s="4" t="inlineStr">
        <is>
          <t>Sprint 2</t>
        </is>
      </c>
      <c r="C15" s="5" t="inlineStr">
        <is>
          <t>Back-end models and enums</t>
        </is>
      </c>
      <c r="D15" s="5" t="inlineStr">
        <is>
          <t>Feature</t>
        </is>
      </c>
      <c r="E15" s="5" t="inlineStr">
        <is>
          <t>Mina</t>
        </is>
      </c>
      <c r="F15" s="6" t="n">
        <v>46302</v>
      </c>
      <c r="G15" s="6" t="n">
        <v>46304</v>
      </c>
      <c r="H15" s="7">
        <f>G15-F15+1</f>
        <v/>
      </c>
      <c r="I15" s="4" t="inlineStr">
        <is>
          <t>Done</t>
        </is>
      </c>
      <c r="J15" s="8" t="inlineStr">
        <is>
          <t>https://trello.com/c/oxyW7ctG</t>
        </is>
      </c>
    </row>
    <row r="16">
      <c r="A16" s="4" t="inlineStr">
        <is>
          <t>2.6</t>
        </is>
      </c>
      <c r="B16" s="4" t="inlineStr">
        <is>
          <t>Sprint 2</t>
        </is>
      </c>
      <c r="C16" s="5" t="inlineStr">
        <is>
          <t>List all API endpoints</t>
        </is>
      </c>
      <c r="D16" s="5" t="inlineStr"/>
      <c r="E16" s="5" t="inlineStr">
        <is>
          <t>Mina</t>
        </is>
      </c>
      <c r="F16" s="6" t="n">
        <v>46304</v>
      </c>
      <c r="G16" s="6" t="n">
        <v>46305</v>
      </c>
      <c r="H16" s="7">
        <f>G16-F16+1</f>
        <v/>
      </c>
      <c r="I16" s="4" t="inlineStr">
        <is>
          <t>Done</t>
        </is>
      </c>
      <c r="J16" s="8" t="inlineStr">
        <is>
          <t>https://trello.com/c/A54TWQNu</t>
        </is>
      </c>
    </row>
    <row r="17">
      <c r="A17" s="4" t="inlineStr">
        <is>
          <t>2.7</t>
        </is>
      </c>
      <c r="B17" s="4" t="inlineStr">
        <is>
          <t>Sprint 2</t>
        </is>
      </c>
      <c r="C17" s="5" t="inlineStr">
        <is>
          <t>DbContext and database</t>
        </is>
      </c>
      <c r="D17" s="5" t="inlineStr">
        <is>
          <t>Database, Milestone</t>
        </is>
      </c>
      <c r="E17" s="5" t="inlineStr">
        <is>
          <t>Kerollos</t>
        </is>
      </c>
      <c r="F17" s="6" t="n">
        <v>46304</v>
      </c>
      <c r="G17" s="6" t="n">
        <v>46306</v>
      </c>
      <c r="H17" s="7">
        <f>G17-F17+1</f>
        <v/>
      </c>
      <c r="I17" s="4" t="inlineStr">
        <is>
          <t>Done</t>
        </is>
      </c>
      <c r="J17" s="8" t="inlineStr">
        <is>
          <t>https://trello.com/c/EZ9lnIYX</t>
        </is>
      </c>
    </row>
    <row r="18">
      <c r="A18" s="4" t="inlineStr">
        <is>
          <t>2.8</t>
        </is>
      </c>
      <c r="B18" s="4" t="inlineStr">
        <is>
          <t>Sprint 2</t>
        </is>
      </c>
      <c r="C18" s="5" t="inlineStr">
        <is>
          <t>Bug fixing and edits</t>
        </is>
      </c>
      <c r="D18" s="5" t="inlineStr">
        <is>
          <t>Testing</t>
        </is>
      </c>
      <c r="E18" s="5" t="inlineStr">
        <is>
          <t>Whole team</t>
        </is>
      </c>
      <c r="F18" s="6" t="n">
        <v>46298</v>
      </c>
      <c r="G18" s="6" t="n">
        <v>46308</v>
      </c>
      <c r="H18" s="7">
        <f>G18-F18+1</f>
        <v/>
      </c>
      <c r="I18" s="4" t="inlineStr">
        <is>
          <t>Done</t>
        </is>
      </c>
      <c r="J18" s="8" t="inlineStr">
        <is>
          <t>https://trello.com/c/h3qVbUWz</t>
        </is>
      </c>
    </row>
    <row r="19">
      <c r="A19" s="4" t="inlineStr">
        <is>
          <t>2.9</t>
        </is>
      </c>
      <c r="B19" s="4" t="inlineStr">
        <is>
          <t>Sprint 2</t>
        </is>
      </c>
      <c r="C19" s="5" t="inlineStr">
        <is>
          <t>Back-end data configurations</t>
        </is>
      </c>
      <c r="D19" s="5" t="inlineStr">
        <is>
          <t>Database</t>
        </is>
      </c>
      <c r="E19" s="5" t="inlineStr">
        <is>
          <t>Kerollos</t>
        </is>
      </c>
      <c r="F19" s="6" t="n">
        <v>46306</v>
      </c>
      <c r="G19" s="6" t="n">
        <v>46308</v>
      </c>
      <c r="H19" s="7">
        <f>G19-F19+1</f>
        <v/>
      </c>
      <c r="I19" s="4" t="inlineStr">
        <is>
          <t>Done</t>
        </is>
      </c>
      <c r="J19" s="8" t="inlineStr">
        <is>
          <t>https://trello.com/c/K72zYdgA</t>
        </is>
      </c>
    </row>
    <row r="20">
      <c r="A20" s="4" t="inlineStr">
        <is>
          <t>3.1</t>
        </is>
      </c>
      <c r="B20" s="4" t="inlineStr">
        <is>
          <t>Sprint 3</t>
        </is>
      </c>
      <c r="C20" s="5" t="inlineStr">
        <is>
          <t>Login controller</t>
        </is>
      </c>
      <c r="D20" s="5" t="inlineStr">
        <is>
          <t>Feature</t>
        </is>
      </c>
      <c r="E20" s="5" t="inlineStr"/>
      <c r="F20" s="6" t="n">
        <v>46308</v>
      </c>
      <c r="G20" s="6" t="n">
        <v>46310</v>
      </c>
      <c r="H20" s="7">
        <f>G20-F20+1</f>
        <v/>
      </c>
      <c r="I20" s="4" t="inlineStr">
        <is>
          <t>To do</t>
        </is>
      </c>
      <c r="J20" s="8" t="inlineStr">
        <is>
          <t>https://trello.com/c/6yknThto</t>
        </is>
      </c>
    </row>
    <row r="21">
      <c r="A21" s="4" t="inlineStr">
        <is>
          <t>3.2</t>
        </is>
      </c>
      <c r="B21" s="4" t="inlineStr">
        <is>
          <t>Sprint 3</t>
        </is>
      </c>
      <c r="C21" s="5" t="inlineStr">
        <is>
          <t>Register controller</t>
        </is>
      </c>
      <c r="D21" s="5" t="inlineStr">
        <is>
          <t>Feature</t>
        </is>
      </c>
      <c r="E21" s="5" t="inlineStr"/>
      <c r="F21" s="6" t="n">
        <v>46308</v>
      </c>
      <c r="G21" s="6" t="n">
        <v>46310</v>
      </c>
      <c r="H21" s="7">
        <f>G21-F21+1</f>
        <v/>
      </c>
      <c r="I21" s="4" t="inlineStr">
        <is>
          <t>To do</t>
        </is>
      </c>
      <c r="J21" s="8" t="inlineStr">
        <is>
          <t>https://trello.com/c/IIN7A8qu</t>
        </is>
      </c>
    </row>
    <row r="22">
      <c r="A22" s="4" t="inlineStr">
        <is>
          <t>3.3</t>
        </is>
      </c>
      <c r="B22" s="4" t="inlineStr">
        <is>
          <t>Sprint 3</t>
        </is>
      </c>
      <c r="C22" s="5" t="inlineStr">
        <is>
          <t>Register DTO and its mapper</t>
        </is>
      </c>
      <c r="D22" s="5" t="inlineStr">
        <is>
          <t>Feature</t>
        </is>
      </c>
      <c r="E22" s="5" t="inlineStr"/>
      <c r="F22" s="6" t="n">
        <v>46308</v>
      </c>
      <c r="G22" s="6" t="n">
        <v>46310</v>
      </c>
      <c r="H22" s="7">
        <f>G22-F22+1</f>
        <v/>
      </c>
      <c r="I22" s="4" t="inlineStr">
        <is>
          <t>To do</t>
        </is>
      </c>
      <c r="J22" s="8" t="inlineStr">
        <is>
          <t>https://trello.com/c/vEIV10KO</t>
        </is>
      </c>
    </row>
    <row r="23">
      <c r="A23" s="4" t="inlineStr">
        <is>
          <t>3.4</t>
        </is>
      </c>
      <c r="B23" s="4" t="inlineStr">
        <is>
          <t>Sprint 3</t>
        </is>
      </c>
      <c r="C23" s="5" t="inlineStr">
        <is>
          <t>Login DTO and its mapper</t>
        </is>
      </c>
      <c r="D23" s="5" t="inlineStr">
        <is>
          <t>Feature</t>
        </is>
      </c>
      <c r="E23" s="5" t="inlineStr"/>
      <c r="F23" s="6" t="n">
        <v>46308</v>
      </c>
      <c r="G23" s="6" t="n">
        <v>46310</v>
      </c>
      <c r="H23" s="7">
        <f>G23-F23+1</f>
        <v/>
      </c>
      <c r="I23" s="4" t="inlineStr">
        <is>
          <t>To do</t>
        </is>
      </c>
      <c r="J23" s="8" t="inlineStr">
        <is>
          <t>https://trello.com/c/T825V92l</t>
        </is>
      </c>
    </row>
    <row r="24">
      <c r="A24" s="4" t="inlineStr">
        <is>
          <t>3.5</t>
        </is>
      </c>
      <c r="B24" s="4" t="inlineStr">
        <is>
          <t>Sprint 3</t>
        </is>
      </c>
      <c r="C24" s="5" t="inlineStr">
        <is>
          <t>Fix enum typos and add Rental fields</t>
        </is>
      </c>
      <c r="D24" s="5" t="inlineStr">
        <is>
          <t>Database</t>
        </is>
      </c>
      <c r="E24" s="5" t="inlineStr"/>
      <c r="F24" s="6" t="n">
        <v>46310</v>
      </c>
      <c r="G24" s="6" t="n">
        <v>46311</v>
      </c>
      <c r="H24" s="7">
        <f>G24-F24+1</f>
        <v/>
      </c>
      <c r="I24" s="4" t="inlineStr">
        <is>
          <t>To do</t>
        </is>
      </c>
      <c r="J24" s="8" t="inlineStr">
        <is>
          <t>https://trello.com/c/Vn43DkQX</t>
        </is>
      </c>
    </row>
    <row r="25">
      <c r="A25" s="4" t="inlineStr">
        <is>
          <t>3.6</t>
        </is>
      </c>
      <c r="B25" s="4" t="inlineStr">
        <is>
          <t>Sprint 3</t>
        </is>
      </c>
      <c r="C25" s="5" t="inlineStr">
        <is>
          <t>Program.cs setup</t>
        </is>
      </c>
      <c r="D25" s="5" t="inlineStr">
        <is>
          <t>Feature</t>
        </is>
      </c>
      <c r="E25" s="5" t="inlineStr"/>
      <c r="F25" s="6" t="n">
        <v>46310</v>
      </c>
      <c r="G25" s="6" t="n">
        <v>46311</v>
      </c>
      <c r="H25" s="7">
        <f>G25-F25+1</f>
        <v/>
      </c>
      <c r="I25" s="4" t="inlineStr">
        <is>
          <t>To do</t>
        </is>
      </c>
      <c r="J25" s="8" t="inlineStr">
        <is>
          <t>https://trello.com/c/CYEYdoCJ</t>
        </is>
      </c>
    </row>
    <row r="26">
      <c r="A26" s="4" t="inlineStr">
        <is>
          <t>3.7</t>
        </is>
      </c>
      <c r="B26" s="4" t="inlineStr">
        <is>
          <t>Sprint 3</t>
        </is>
      </c>
      <c r="C26" s="5" t="inlineStr">
        <is>
          <t>ListCar controller</t>
        </is>
      </c>
      <c r="D26" s="5" t="inlineStr">
        <is>
          <t>Feature</t>
        </is>
      </c>
      <c r="E26" s="5" t="inlineStr"/>
      <c r="F26" s="6" t="n">
        <v>46310</v>
      </c>
      <c r="G26" s="6" t="n">
        <v>46312</v>
      </c>
      <c r="H26" s="7">
        <f>G26-F26+1</f>
        <v/>
      </c>
      <c r="I26" s="4" t="inlineStr">
        <is>
          <t>To do</t>
        </is>
      </c>
      <c r="J26" s="8" t="inlineStr">
        <is>
          <t>https://trello.com/c/QP40LNBB</t>
        </is>
      </c>
    </row>
    <row r="27">
      <c r="A27" s="4" t="inlineStr">
        <is>
          <t>3.8</t>
        </is>
      </c>
      <c r="B27" s="4" t="inlineStr">
        <is>
          <t>Sprint 3</t>
        </is>
      </c>
      <c r="C27" s="5" t="inlineStr">
        <is>
          <t>ListCar DTO and its mapper</t>
        </is>
      </c>
      <c r="D27" s="5" t="inlineStr">
        <is>
          <t>Feature</t>
        </is>
      </c>
      <c r="E27" s="5" t="inlineStr"/>
      <c r="F27" s="6" t="n">
        <v>46310</v>
      </c>
      <c r="G27" s="6" t="n">
        <v>46312</v>
      </c>
      <c r="H27" s="7">
        <f>G27-F27+1</f>
        <v/>
      </c>
      <c r="I27" s="4" t="inlineStr">
        <is>
          <t>To do</t>
        </is>
      </c>
      <c r="J27" s="8" t="inlineStr">
        <is>
          <t>https://trello.com/c/jQtCx9ab</t>
        </is>
      </c>
    </row>
    <row r="28">
      <c r="A28" s="4" t="inlineStr">
        <is>
          <t>3.9</t>
        </is>
      </c>
      <c r="B28" s="4" t="inlineStr">
        <is>
          <t>Sprint 3</t>
        </is>
      </c>
      <c r="C28" s="5" t="inlineStr">
        <is>
          <t>RentalRules service</t>
        </is>
      </c>
      <c r="D28" s="5" t="inlineStr">
        <is>
          <t>Feature</t>
        </is>
      </c>
      <c r="E28" s="5" t="inlineStr"/>
      <c r="F28" s="6" t="n">
        <v>46311</v>
      </c>
      <c r="G28" s="6" t="n">
        <v>46312</v>
      </c>
      <c r="H28" s="7">
        <f>G28-F28+1</f>
        <v/>
      </c>
      <c r="I28" s="4" t="inlineStr">
        <is>
          <t>To do</t>
        </is>
      </c>
      <c r="J28" s="8" t="inlineStr">
        <is>
          <t>https://trello.com/c/TExOruDr</t>
        </is>
      </c>
    </row>
    <row r="29">
      <c r="A29" s="4" t="inlineStr">
        <is>
          <t>3.10</t>
        </is>
      </c>
      <c r="B29" s="4" t="inlineStr">
        <is>
          <t>Sprint 3</t>
        </is>
      </c>
      <c r="C29" s="5" t="inlineStr">
        <is>
          <t>Seed roles, admin account and sample cars</t>
        </is>
      </c>
      <c r="D29" s="5" t="inlineStr">
        <is>
          <t>Database</t>
        </is>
      </c>
      <c r="E29" s="5" t="inlineStr"/>
      <c r="F29" s="6" t="n">
        <v>46311</v>
      </c>
      <c r="G29" s="6" t="n">
        <v>46312</v>
      </c>
      <c r="H29" s="7">
        <f>G29-F29+1</f>
        <v/>
      </c>
      <c r="I29" s="4" t="inlineStr">
        <is>
          <t>To do</t>
        </is>
      </c>
      <c r="J29" s="8" t="inlineStr">
        <is>
          <t>https://trello.com/c/0pL339MB</t>
        </is>
      </c>
    </row>
    <row r="30">
      <c r="A30" s="4" t="inlineStr">
        <is>
          <t>3.11</t>
        </is>
      </c>
      <c r="B30" s="4" t="inlineStr">
        <is>
          <t>Sprint 3</t>
        </is>
      </c>
      <c r="C30" s="5" t="inlineStr">
        <is>
          <t>Image storage service</t>
        </is>
      </c>
      <c r="D30" s="5" t="inlineStr">
        <is>
          <t>Feature</t>
        </is>
      </c>
      <c r="E30" s="5" t="inlineStr"/>
      <c r="F30" s="6" t="n">
        <v>46311</v>
      </c>
      <c r="G30" s="6" t="n">
        <v>46312</v>
      </c>
      <c r="H30" s="7">
        <f>G30-F30+1</f>
        <v/>
      </c>
      <c r="I30" s="4" t="inlineStr">
        <is>
          <t>To do</t>
        </is>
      </c>
      <c r="J30" s="8" t="inlineStr">
        <is>
          <t>https://trello.com/c/WPmSJB3H</t>
        </is>
      </c>
    </row>
    <row r="31">
      <c r="A31" s="4" t="inlineStr">
        <is>
          <t>3.12</t>
        </is>
      </c>
      <c r="B31" s="4" t="inlineStr">
        <is>
          <t>Sprint 3</t>
        </is>
      </c>
      <c r="C31" s="5" t="inlineStr">
        <is>
          <t>Branches endpoint</t>
        </is>
      </c>
      <c r="D31" s="5" t="inlineStr">
        <is>
          <t>Feature</t>
        </is>
      </c>
      <c r="E31" s="5" t="inlineStr"/>
      <c r="F31" s="6" t="n">
        <v>46312</v>
      </c>
      <c r="G31" s="6" t="n">
        <v>46312</v>
      </c>
      <c r="H31" s="7">
        <f>G31-F31+1</f>
        <v/>
      </c>
      <c r="I31" s="4" t="inlineStr">
        <is>
          <t>To do</t>
        </is>
      </c>
      <c r="J31" s="8" t="inlineStr">
        <is>
          <t>https://trello.com/c/SdEdmdWh</t>
        </is>
      </c>
    </row>
    <row r="32">
      <c r="A32" s="4" t="inlineStr">
        <is>
          <t>3.13</t>
        </is>
      </c>
      <c r="B32" s="4" t="inlineStr">
        <is>
          <t>Sprint 3</t>
        </is>
      </c>
      <c r="C32" s="5" t="inlineStr">
        <is>
          <t>Authentication and authorization with Identity + JWT</t>
        </is>
      </c>
      <c r="D32" s="5" t="inlineStr">
        <is>
          <t>Milestone, Feature, Authentication</t>
        </is>
      </c>
      <c r="E32" s="5" t="inlineStr"/>
      <c r="F32" s="6" t="n">
        <v>46312</v>
      </c>
      <c r="G32" s="6" t="n">
        <v>46314</v>
      </c>
      <c r="H32" s="7">
        <f>G32-F32+1</f>
        <v/>
      </c>
      <c r="I32" s="4" t="inlineStr">
        <is>
          <t>To do</t>
        </is>
      </c>
      <c r="J32" s="8" t="inlineStr">
        <is>
          <t>https://trello.com/c/YnKxkEPO</t>
        </is>
      </c>
    </row>
    <row r="33">
      <c r="A33" s="4" t="inlineStr">
        <is>
          <t>3.14</t>
        </is>
      </c>
      <c r="B33" s="4" t="inlineStr">
        <is>
          <t>Sprint 3</t>
        </is>
      </c>
      <c r="C33" s="5" t="inlineStr">
        <is>
          <t>ChangePassword endpoint</t>
        </is>
      </c>
      <c r="D33" s="5" t="inlineStr">
        <is>
          <t>Authentication, Feature</t>
        </is>
      </c>
      <c r="E33" s="5" t="inlineStr"/>
      <c r="F33" s="6" t="n">
        <v>46314</v>
      </c>
      <c r="G33" s="6" t="n">
        <v>46315</v>
      </c>
      <c r="H33" s="7">
        <f>G33-F33+1</f>
        <v/>
      </c>
      <c r="I33" s="4" t="inlineStr">
        <is>
          <t>To do</t>
        </is>
      </c>
      <c r="J33" s="8" t="inlineStr">
        <is>
          <t>https://trello.com/c/ZNfG4BXB</t>
        </is>
      </c>
    </row>
    <row r="34">
      <c r="A34" s="4" t="inlineStr">
        <is>
          <t>3.15</t>
        </is>
      </c>
      <c r="B34" s="4" t="inlineStr">
        <is>
          <t>Sprint 3</t>
        </is>
      </c>
      <c r="C34" s="5" t="inlineStr">
        <is>
          <t>Testing with the front end</t>
        </is>
      </c>
      <c r="D34" s="5" t="inlineStr">
        <is>
          <t>Integrating with Frontend</t>
        </is>
      </c>
      <c r="E34" s="5" t="inlineStr"/>
      <c r="F34" s="6" t="n">
        <v>46308</v>
      </c>
      <c r="G34" s="6" t="n">
        <v>46316</v>
      </c>
      <c r="H34" s="7">
        <f>G34-F34+1</f>
        <v/>
      </c>
      <c r="I34" s="4" t="inlineStr">
        <is>
          <t>To do</t>
        </is>
      </c>
      <c r="J34" s="8" t="inlineStr">
        <is>
          <t>https://trello.com/c/HPVKFVOq</t>
        </is>
      </c>
    </row>
    <row r="35">
      <c r="A35" s="4" t="inlineStr">
        <is>
          <t>3.16</t>
        </is>
      </c>
      <c r="B35" s="4" t="inlineStr">
        <is>
          <t>Sprint 3</t>
        </is>
      </c>
      <c r="C35" s="5" t="inlineStr">
        <is>
          <t>Bug fixing and edits</t>
        </is>
      </c>
      <c r="D35" s="5" t="inlineStr">
        <is>
          <t>Testing</t>
        </is>
      </c>
      <c r="E35" s="5" t="inlineStr"/>
      <c r="F35" s="6" t="n">
        <v>46308</v>
      </c>
      <c r="G35" s="6" t="n">
        <v>46317</v>
      </c>
      <c r="H35" s="7">
        <f>G35-F35+1</f>
        <v/>
      </c>
      <c r="I35" s="4" t="inlineStr">
        <is>
          <t>To do</t>
        </is>
      </c>
      <c r="J35" s="8" t="inlineStr">
        <is>
          <t>https://trello.com/c/FDMITjOf</t>
        </is>
      </c>
    </row>
    <row r="36">
      <c r="A36" s="4" t="inlineStr">
        <is>
          <t>3.17</t>
        </is>
      </c>
      <c r="B36" s="4" t="inlineStr">
        <is>
          <t>Sprint 3</t>
        </is>
      </c>
      <c r="C36" s="5" t="inlineStr">
        <is>
          <t>.http file for every endpoint</t>
        </is>
      </c>
      <c r="D36" s="5" t="inlineStr">
        <is>
          <t>Testing</t>
        </is>
      </c>
      <c r="E36" s="5" t="inlineStr"/>
      <c r="F36" s="6" t="n">
        <v>46310</v>
      </c>
      <c r="G36" s="6" t="n">
        <v>46317</v>
      </c>
      <c r="H36" s="7">
        <f>G36-F36+1</f>
        <v/>
      </c>
      <c r="I36" s="4" t="inlineStr">
        <is>
          <t>To do</t>
        </is>
      </c>
      <c r="J36" s="8" t="inlineStr">
        <is>
          <t>https://trello.com/c/ewzo1CUj</t>
        </is>
      </c>
    </row>
    <row r="37">
      <c r="A37" s="4" t="inlineStr">
        <is>
          <t>4.1</t>
        </is>
      </c>
      <c r="B37" s="4" t="inlineStr">
        <is>
          <t>Sprint 4</t>
        </is>
      </c>
      <c r="C37" s="5" t="inlineStr">
        <is>
          <t>ListMyRentals controller</t>
        </is>
      </c>
      <c r="D37" s="5" t="inlineStr">
        <is>
          <t>Feature</t>
        </is>
      </c>
      <c r="E37" s="5" t="inlineStr"/>
      <c r="F37" s="6" t="n">
        <v>46318</v>
      </c>
      <c r="G37" s="6" t="n">
        <v>46320</v>
      </c>
      <c r="H37" s="7">
        <f>G37-F37+1</f>
        <v/>
      </c>
      <c r="I37" s="4" t="inlineStr">
        <is>
          <t>To do</t>
        </is>
      </c>
      <c r="J37" s="8" t="inlineStr">
        <is>
          <t>https://trello.com/c/sYUsWQ6o</t>
        </is>
      </c>
    </row>
    <row r="38">
      <c r="A38" s="4" t="inlineStr">
        <is>
          <t>4.2</t>
        </is>
      </c>
      <c r="B38" s="4" t="inlineStr">
        <is>
          <t>Sprint 4</t>
        </is>
      </c>
      <c r="C38" s="5" t="inlineStr">
        <is>
          <t>ListRentals DTO and its mapper</t>
        </is>
      </c>
      <c r="D38" s="5" t="inlineStr">
        <is>
          <t>Feature</t>
        </is>
      </c>
      <c r="E38" s="5" t="inlineStr"/>
      <c r="F38" s="6" t="n">
        <v>46318</v>
      </c>
      <c r="G38" s="6" t="n">
        <v>46320</v>
      </c>
      <c r="H38" s="7">
        <f>G38-F38+1</f>
        <v/>
      </c>
      <c r="I38" s="4" t="inlineStr">
        <is>
          <t>To do</t>
        </is>
      </c>
      <c r="J38" s="8" t="inlineStr">
        <is>
          <t>https://trello.com/c/kU0U0Ms6</t>
        </is>
      </c>
    </row>
    <row r="39">
      <c r="A39" s="4" t="inlineStr">
        <is>
          <t>4.3</t>
        </is>
      </c>
      <c r="B39" s="4" t="inlineStr">
        <is>
          <t>Sprint 4</t>
        </is>
      </c>
      <c r="C39" s="5" t="inlineStr">
        <is>
          <t>CarDetails endpoint (customer)</t>
        </is>
      </c>
      <c r="D39" s="5" t="inlineStr">
        <is>
          <t>Feature</t>
        </is>
      </c>
      <c r="E39" s="5" t="inlineStr"/>
      <c r="F39" s="6" t="n">
        <v>46318</v>
      </c>
      <c r="G39" s="6" t="n">
        <v>46320</v>
      </c>
      <c r="H39" s="7">
        <f>G39-F39+1</f>
        <v/>
      </c>
      <c r="I39" s="4" t="inlineStr">
        <is>
          <t>To do</t>
        </is>
      </c>
      <c r="J39" s="8" t="inlineStr">
        <is>
          <t>https://trello.com/c/zesf9oYV</t>
        </is>
      </c>
    </row>
    <row r="40">
      <c r="A40" s="4" t="inlineStr">
        <is>
          <t>4.4</t>
        </is>
      </c>
      <c r="B40" s="4" t="inlineStr">
        <is>
          <t>Sprint 4</t>
        </is>
      </c>
      <c r="C40" s="5" t="inlineStr">
        <is>
          <t>RentalRequest controller</t>
        </is>
      </c>
      <c r="D40" s="5" t="inlineStr">
        <is>
          <t>Feature</t>
        </is>
      </c>
      <c r="E40" s="5" t="inlineStr"/>
      <c r="F40" s="6" t="n">
        <v>46320</v>
      </c>
      <c r="G40" s="6" t="n">
        <v>46322</v>
      </c>
      <c r="H40" s="7">
        <f>G40-F40+1</f>
        <v/>
      </c>
      <c r="I40" s="4" t="inlineStr">
        <is>
          <t>To do</t>
        </is>
      </c>
      <c r="J40" s="8" t="inlineStr">
        <is>
          <t>https://trello.com/c/gEnSeHBT</t>
        </is>
      </c>
    </row>
    <row r="41">
      <c r="A41" s="4" t="inlineStr">
        <is>
          <t>4.5</t>
        </is>
      </c>
      <c r="B41" s="4" t="inlineStr">
        <is>
          <t>Sprint 4</t>
        </is>
      </c>
      <c r="C41" s="5" t="inlineStr">
        <is>
          <t>RentalRequest DTO and its mapper</t>
        </is>
      </c>
      <c r="D41" s="5" t="inlineStr">
        <is>
          <t>Feature</t>
        </is>
      </c>
      <c r="E41" s="5" t="inlineStr"/>
      <c r="F41" s="6" t="n">
        <v>46320</v>
      </c>
      <c r="G41" s="6" t="n">
        <v>46322</v>
      </c>
      <c r="H41" s="7">
        <f>G41-F41+1</f>
        <v/>
      </c>
      <c r="I41" s="4" t="inlineStr">
        <is>
          <t>To do</t>
        </is>
      </c>
      <c r="J41" s="8" t="inlineStr">
        <is>
          <t>https://trello.com/c/OJIHKKam</t>
        </is>
      </c>
    </row>
    <row r="42">
      <c r="A42" s="4" t="inlineStr">
        <is>
          <t>4.6</t>
        </is>
      </c>
      <c r="B42" s="4" t="inlineStr">
        <is>
          <t>Sprint 4</t>
        </is>
      </c>
      <c r="C42" s="5" t="inlineStr">
        <is>
          <t>CancelRental controller</t>
        </is>
      </c>
      <c r="D42" s="5" t="inlineStr">
        <is>
          <t>Feature</t>
        </is>
      </c>
      <c r="E42" s="5" t="inlineStr"/>
      <c r="F42" s="6" t="n">
        <v>46322</v>
      </c>
      <c r="G42" s="6" t="n">
        <v>46324</v>
      </c>
      <c r="H42" s="7">
        <f>G42-F42+1</f>
        <v/>
      </c>
      <c r="I42" s="4" t="inlineStr">
        <is>
          <t>To do</t>
        </is>
      </c>
      <c r="J42" s="8" t="inlineStr">
        <is>
          <t>https://trello.com/c/SLynyBL4</t>
        </is>
      </c>
    </row>
    <row r="43">
      <c r="A43" s="4" t="inlineStr">
        <is>
          <t>4.7</t>
        </is>
      </c>
      <c r="B43" s="4" t="inlineStr">
        <is>
          <t>Sprint 4</t>
        </is>
      </c>
      <c r="C43" s="5" t="inlineStr">
        <is>
          <t>UserProfileDto and its mapper</t>
        </is>
      </c>
      <c r="D43" s="5" t="inlineStr">
        <is>
          <t>Feature</t>
        </is>
      </c>
      <c r="E43" s="5" t="inlineStr"/>
      <c r="F43" s="6" t="n">
        <v>46324</v>
      </c>
      <c r="G43" s="6" t="n">
        <v>46326</v>
      </c>
      <c r="H43" s="7">
        <f>G43-F43+1</f>
        <v/>
      </c>
      <c r="I43" s="4" t="inlineStr">
        <is>
          <t>To do</t>
        </is>
      </c>
      <c r="J43" s="8" t="inlineStr">
        <is>
          <t>https://trello.com/c/8O9KrEim</t>
        </is>
      </c>
    </row>
    <row r="44">
      <c r="A44" s="4" t="inlineStr">
        <is>
          <t>4.8</t>
        </is>
      </c>
      <c r="B44" s="4" t="inlineStr">
        <is>
          <t>Sprint 4</t>
        </is>
      </c>
      <c r="C44" s="5" t="inlineStr">
        <is>
          <t>GetUserProfile controller</t>
        </is>
      </c>
      <c r="D44" s="5" t="inlineStr">
        <is>
          <t>Feature</t>
        </is>
      </c>
      <c r="E44" s="5" t="inlineStr"/>
      <c r="F44" s="6" t="n">
        <v>46324</v>
      </c>
      <c r="G44" s="6" t="n">
        <v>46326</v>
      </c>
      <c r="H44" s="7">
        <f>G44-F44+1</f>
        <v/>
      </c>
      <c r="I44" s="4" t="inlineStr">
        <is>
          <t>To do</t>
        </is>
      </c>
      <c r="J44" s="8" t="inlineStr">
        <is>
          <t>https://trello.com/c/WtUZaQGB</t>
        </is>
      </c>
    </row>
    <row r="45">
      <c r="A45" s="4" t="inlineStr">
        <is>
          <t>4.9</t>
        </is>
      </c>
      <c r="B45" s="4" t="inlineStr">
        <is>
          <t>Sprint 4</t>
        </is>
      </c>
      <c r="C45" s="5" t="inlineStr">
        <is>
          <t>RefuseRental controller</t>
        </is>
      </c>
      <c r="D45" s="5" t="inlineStr">
        <is>
          <t>Feature</t>
        </is>
      </c>
      <c r="E45" s="5" t="inlineStr"/>
      <c r="F45" s="6" t="n">
        <v>46324</v>
      </c>
      <c r="G45" s="6" t="n">
        <v>46326</v>
      </c>
      <c r="H45" s="7">
        <f>G45-F45+1</f>
        <v/>
      </c>
      <c r="I45" s="4" t="inlineStr">
        <is>
          <t>To do</t>
        </is>
      </c>
      <c r="J45" s="8" t="inlineStr">
        <is>
          <t>https://trello.com/c/7PbQrPyP</t>
        </is>
      </c>
    </row>
    <row r="46">
      <c r="A46" s="4" t="inlineStr">
        <is>
          <t>4.10</t>
        </is>
      </c>
      <c r="B46" s="4" t="inlineStr">
        <is>
          <t>Sprint 4</t>
        </is>
      </c>
      <c r="C46" s="5" t="inlineStr">
        <is>
          <t>Testing with the front end</t>
        </is>
      </c>
      <c r="D46" s="5" t="inlineStr">
        <is>
          <t>Integrating with Frontend</t>
        </is>
      </c>
      <c r="E46" s="5" t="inlineStr"/>
      <c r="F46" s="6" t="n">
        <v>46318</v>
      </c>
      <c r="G46" s="6" t="n">
        <v>46328</v>
      </c>
      <c r="H46" s="7">
        <f>G46-F46+1</f>
        <v/>
      </c>
      <c r="I46" s="4" t="inlineStr">
        <is>
          <t>To do</t>
        </is>
      </c>
      <c r="J46" s="8" t="inlineStr">
        <is>
          <t>https://trello.com/c/cvPQAwAl</t>
        </is>
      </c>
    </row>
    <row r="47">
      <c r="A47" s="4" t="inlineStr">
        <is>
          <t>4.11</t>
        </is>
      </c>
      <c r="B47" s="4" t="inlineStr">
        <is>
          <t>Sprint 4</t>
        </is>
      </c>
      <c r="C47" s="5" t="inlineStr">
        <is>
          <t>Bug fixing and edits</t>
        </is>
      </c>
      <c r="D47" s="5" t="inlineStr">
        <is>
          <t>Testing</t>
        </is>
      </c>
      <c r="E47" s="5" t="inlineStr"/>
      <c r="F47" s="6" t="n">
        <v>46318</v>
      </c>
      <c r="G47" s="6" t="n">
        <v>46328</v>
      </c>
      <c r="H47" s="7">
        <f>G47-F47+1</f>
        <v/>
      </c>
      <c r="I47" s="4" t="inlineStr">
        <is>
          <t>To do</t>
        </is>
      </c>
      <c r="J47" s="8" t="inlineStr">
        <is>
          <t>https://trello.com/c/yHDCuwF9</t>
        </is>
      </c>
    </row>
    <row r="48">
      <c r="A48" s="4" t="inlineStr">
        <is>
          <t>4.12</t>
        </is>
      </c>
      <c r="B48" s="4" t="inlineStr">
        <is>
          <t>Sprint 4</t>
        </is>
      </c>
      <c r="C48" s="5" t="inlineStr">
        <is>
          <t>UpdateProfile and UpdateLicense endpoints</t>
        </is>
      </c>
      <c r="D48" s="5" t="inlineStr">
        <is>
          <t>Feature</t>
        </is>
      </c>
      <c r="E48" s="5" t="inlineStr"/>
      <c r="F48" s="6" t="n">
        <v>46326</v>
      </c>
      <c r="G48" s="6" t="n">
        <v>46328</v>
      </c>
      <c r="H48" s="7">
        <f>G48-F48+1</f>
        <v/>
      </c>
      <c r="I48" s="4" t="inlineStr">
        <is>
          <t>To do</t>
        </is>
      </c>
      <c r="J48" s="8" t="inlineStr">
        <is>
          <t>https://trello.com/c/yY7HQGmO</t>
        </is>
      </c>
    </row>
    <row r="49">
      <c r="A49" s="4" t="inlineStr">
        <is>
          <t>5.1</t>
        </is>
      </c>
      <c r="B49" s="4" t="inlineStr">
        <is>
          <t>Sprint 5</t>
        </is>
      </c>
      <c r="C49" s="5" t="inlineStr">
        <is>
          <t>ListCustomers controller</t>
        </is>
      </c>
      <c r="D49" s="5" t="inlineStr">
        <is>
          <t>Feature</t>
        </is>
      </c>
      <c r="E49" s="5" t="inlineStr"/>
      <c r="F49" s="6" t="n">
        <v>46329</v>
      </c>
      <c r="G49" s="6" t="n">
        <v>46331</v>
      </c>
      <c r="H49" s="7">
        <f>G49-F49+1</f>
        <v/>
      </c>
      <c r="I49" s="4" t="inlineStr">
        <is>
          <t>To do</t>
        </is>
      </c>
      <c r="J49" s="8" t="inlineStr">
        <is>
          <t>https://trello.com/c/lI3MsePw</t>
        </is>
      </c>
    </row>
    <row r="50">
      <c r="A50" s="4" t="inlineStr">
        <is>
          <t>5.2</t>
        </is>
      </c>
      <c r="B50" s="4" t="inlineStr">
        <is>
          <t>Sprint 5</t>
        </is>
      </c>
      <c r="C50" s="5" t="inlineStr">
        <is>
          <t>ListCustomer DTO and its mapper</t>
        </is>
      </c>
      <c r="D50" s="5" t="inlineStr">
        <is>
          <t>Feature</t>
        </is>
      </c>
      <c r="E50" s="5" t="inlineStr"/>
      <c r="F50" s="6" t="n">
        <v>46329</v>
      </c>
      <c r="G50" s="6" t="n">
        <v>46331</v>
      </c>
      <c r="H50" s="7">
        <f>G50-F50+1</f>
        <v/>
      </c>
      <c r="I50" s="4" t="inlineStr">
        <is>
          <t>To do</t>
        </is>
      </c>
      <c r="J50" s="8" t="inlineStr">
        <is>
          <t>https://trello.com/c/TDfcLpj3</t>
        </is>
      </c>
    </row>
    <row r="51">
      <c r="A51" s="4" t="inlineStr">
        <is>
          <t>5.3</t>
        </is>
      </c>
      <c r="B51" s="4" t="inlineStr">
        <is>
          <t>Sprint 5</t>
        </is>
      </c>
      <c r="C51" s="5" t="inlineStr">
        <is>
          <t>VerifyLicense endpoint (staff)</t>
        </is>
      </c>
      <c r="D51" s="5" t="inlineStr">
        <is>
          <t>Feature</t>
        </is>
      </c>
      <c r="E51" s="5" t="inlineStr"/>
      <c r="F51" s="6" t="n">
        <v>46331</v>
      </c>
      <c r="G51" s="6" t="n">
        <v>46332</v>
      </c>
      <c r="H51" s="7">
        <f>G51-F51+1</f>
        <v/>
      </c>
      <c r="I51" s="4" t="inlineStr">
        <is>
          <t>To do</t>
        </is>
      </c>
      <c r="J51" s="8" t="inlineStr">
        <is>
          <t>https://trello.com/c/Gba8Blg4</t>
        </is>
      </c>
    </row>
    <row r="52">
      <c r="A52" s="4" t="inlineStr">
        <is>
          <t>5.4</t>
        </is>
      </c>
      <c r="B52" s="4" t="inlineStr">
        <is>
          <t>Sprint 5</t>
        </is>
      </c>
      <c r="C52" s="5" t="inlineStr">
        <is>
          <t>ListCars controller</t>
        </is>
      </c>
      <c r="D52" s="5" t="inlineStr">
        <is>
          <t>Feature</t>
        </is>
      </c>
      <c r="E52" s="5" t="inlineStr"/>
      <c r="F52" s="6" t="n">
        <v>46331</v>
      </c>
      <c r="G52" s="6" t="n">
        <v>46333</v>
      </c>
      <c r="H52" s="7">
        <f>G52-F52+1</f>
        <v/>
      </c>
      <c r="I52" s="4" t="inlineStr">
        <is>
          <t>To do</t>
        </is>
      </c>
      <c r="J52" s="8" t="inlineStr">
        <is>
          <t>https://trello.com/c/LGP4xh0T</t>
        </is>
      </c>
    </row>
    <row r="53">
      <c r="A53" s="4" t="inlineStr">
        <is>
          <t>5.5</t>
        </is>
      </c>
      <c r="B53" s="4" t="inlineStr">
        <is>
          <t>Sprint 5</t>
        </is>
      </c>
      <c r="C53" s="5" t="inlineStr">
        <is>
          <t>AdminListAllRentals controller</t>
        </is>
      </c>
      <c r="D53" s="5" t="inlineStr">
        <is>
          <t>Feature</t>
        </is>
      </c>
      <c r="E53" s="5" t="inlineStr"/>
      <c r="F53" s="6" t="n">
        <v>46333</v>
      </c>
      <c r="G53" s="6" t="n">
        <v>46335</v>
      </c>
      <c r="H53" s="7">
        <f>G53-F53+1</f>
        <v/>
      </c>
      <c r="I53" s="4" t="inlineStr">
        <is>
          <t>To do</t>
        </is>
      </c>
      <c r="J53" s="8" t="inlineStr">
        <is>
          <t>https://trello.com/c/0HQMY2zr</t>
        </is>
      </c>
    </row>
    <row r="54">
      <c r="A54" s="4" t="inlineStr">
        <is>
          <t>5.6</t>
        </is>
      </c>
      <c r="B54" s="4" t="inlineStr">
        <is>
          <t>Sprint 5</t>
        </is>
      </c>
      <c r="C54" s="5" t="inlineStr">
        <is>
          <t>ListPayments controller</t>
        </is>
      </c>
      <c r="D54" s="5" t="inlineStr">
        <is>
          <t>Feature</t>
        </is>
      </c>
      <c r="E54" s="5" t="inlineStr"/>
      <c r="F54" s="6" t="n">
        <v>46335</v>
      </c>
      <c r="G54" s="6" t="n">
        <v>46337</v>
      </c>
      <c r="H54" s="7">
        <f>G54-F54+1</f>
        <v/>
      </c>
      <c r="I54" s="4" t="inlineStr">
        <is>
          <t>To do</t>
        </is>
      </c>
      <c r="J54" s="8" t="inlineStr">
        <is>
          <t>https://trello.com/c/EQs9Ose5</t>
        </is>
      </c>
    </row>
    <row r="55">
      <c r="A55" s="4" t="inlineStr">
        <is>
          <t>5.7</t>
        </is>
      </c>
      <c r="B55" s="4" t="inlineStr">
        <is>
          <t>Sprint 5</t>
        </is>
      </c>
      <c r="C55" s="5" t="inlineStr">
        <is>
          <t>ListPayments DTO and its mapper</t>
        </is>
      </c>
      <c r="D55" s="5" t="inlineStr">
        <is>
          <t>Feature</t>
        </is>
      </c>
      <c r="E55" s="5" t="inlineStr"/>
      <c r="F55" s="6" t="n">
        <v>46335</v>
      </c>
      <c r="G55" s="6" t="n">
        <v>46337</v>
      </c>
      <c r="H55" s="7">
        <f>G55-F55+1</f>
        <v/>
      </c>
      <c r="I55" s="4" t="inlineStr">
        <is>
          <t>To do</t>
        </is>
      </c>
      <c r="J55" s="8" t="inlineStr">
        <is>
          <t>https://trello.com/c/A1ebSNFP</t>
        </is>
      </c>
    </row>
    <row r="56">
      <c r="A56" s="4" t="inlineStr">
        <is>
          <t>5.8</t>
        </is>
      </c>
      <c r="B56" s="4" t="inlineStr">
        <is>
          <t>Sprint 5</t>
        </is>
      </c>
      <c r="C56" s="5" t="inlineStr">
        <is>
          <t>Testing with the front end</t>
        </is>
      </c>
      <c r="D56" s="5" t="inlineStr">
        <is>
          <t>Integrating with Frontend</t>
        </is>
      </c>
      <c r="E56" s="5" t="inlineStr"/>
      <c r="F56" s="6" t="n">
        <v>46329</v>
      </c>
      <c r="G56" s="6" t="n">
        <v>46338</v>
      </c>
      <c r="H56" s="7">
        <f>G56-F56+1</f>
        <v/>
      </c>
      <c r="I56" s="4" t="inlineStr">
        <is>
          <t>To do</t>
        </is>
      </c>
      <c r="J56" s="8" t="inlineStr">
        <is>
          <t>https://trello.com/c/3NdSl3Az</t>
        </is>
      </c>
    </row>
    <row r="57">
      <c r="A57" s="4" t="inlineStr">
        <is>
          <t>5.9</t>
        </is>
      </c>
      <c r="B57" s="4" t="inlineStr">
        <is>
          <t>Sprint 5</t>
        </is>
      </c>
      <c r="C57" s="5" t="inlineStr">
        <is>
          <t>Bug fixing and edits</t>
        </is>
      </c>
      <c r="D57" s="5" t="inlineStr">
        <is>
          <t>Testing</t>
        </is>
      </c>
      <c r="E57" s="5" t="inlineStr"/>
      <c r="F57" s="6" t="n">
        <v>46329</v>
      </c>
      <c r="G57" s="6" t="n">
        <v>46338</v>
      </c>
      <c r="H57" s="7">
        <f>G57-F57+1</f>
        <v/>
      </c>
      <c r="I57" s="4" t="inlineStr">
        <is>
          <t>To do</t>
        </is>
      </c>
      <c r="J57" s="8" t="inlineStr">
        <is>
          <t>https://trello.com/c/EkeVUfMH</t>
        </is>
      </c>
    </row>
    <row r="58">
      <c r="A58" s="4" t="inlineStr">
        <is>
          <t>6.1</t>
        </is>
      </c>
      <c r="B58" s="4" t="inlineStr">
        <is>
          <t>Sprint 6</t>
        </is>
      </c>
      <c r="C58" s="5" t="inlineStr">
        <is>
          <t>ApproveRental controller</t>
        </is>
      </c>
      <c r="D58" s="5" t="inlineStr">
        <is>
          <t>Feature</t>
        </is>
      </c>
      <c r="E58" s="5" t="inlineStr"/>
      <c r="F58" s="6" t="n">
        <v>46339</v>
      </c>
      <c r="G58" s="6" t="n">
        <v>46341</v>
      </c>
      <c r="H58" s="7">
        <f>G58-F58+1</f>
        <v/>
      </c>
      <c r="I58" s="4" t="inlineStr">
        <is>
          <t>To do</t>
        </is>
      </c>
      <c r="J58" s="8" t="inlineStr">
        <is>
          <t>https://trello.com/c/fhxihmyz</t>
        </is>
      </c>
    </row>
    <row r="59">
      <c r="A59" s="4" t="inlineStr">
        <is>
          <t>6.2</t>
        </is>
      </c>
      <c r="B59" s="4" t="inlineStr">
        <is>
          <t>Sprint 6</t>
        </is>
      </c>
      <c r="C59" s="5" t="inlineStr">
        <is>
          <t>HandOverKeys controller</t>
        </is>
      </c>
      <c r="D59" s="5" t="inlineStr">
        <is>
          <t>Feature</t>
        </is>
      </c>
      <c r="E59" s="5" t="inlineStr"/>
      <c r="F59" s="6" t="n">
        <v>46341</v>
      </c>
      <c r="G59" s="6" t="n">
        <v>46343</v>
      </c>
      <c r="H59" s="7">
        <f>G59-F59+1</f>
        <v/>
      </c>
      <c r="I59" s="4" t="inlineStr">
        <is>
          <t>To do</t>
        </is>
      </c>
      <c r="J59" s="8" t="inlineStr">
        <is>
          <t>https://trello.com/c/lw0foecX</t>
        </is>
      </c>
    </row>
    <row r="60">
      <c r="A60" s="4" t="inlineStr">
        <is>
          <t>6.3</t>
        </is>
      </c>
      <c r="B60" s="4" t="inlineStr">
        <is>
          <t>Sprint 6</t>
        </is>
      </c>
      <c r="C60" s="5" t="inlineStr">
        <is>
          <t>Rental rejection controller</t>
        </is>
      </c>
      <c r="D60" s="5" t="inlineStr">
        <is>
          <t>Feature</t>
        </is>
      </c>
      <c r="E60" s="5" t="inlineStr"/>
      <c r="F60" s="6" t="n">
        <v>46343</v>
      </c>
      <c r="G60" s="6" t="n">
        <v>46345</v>
      </c>
      <c r="H60" s="7">
        <f>G60-F60+1</f>
        <v/>
      </c>
      <c r="I60" s="4" t="inlineStr">
        <is>
          <t>To do</t>
        </is>
      </c>
      <c r="J60" s="8" t="inlineStr">
        <is>
          <t>https://trello.com/c/CNo7iQOy</t>
        </is>
      </c>
    </row>
    <row r="61">
      <c r="A61" s="4" t="inlineStr">
        <is>
          <t>6.4</t>
        </is>
      </c>
      <c r="B61" s="4" t="inlineStr">
        <is>
          <t>Sprint 6</t>
        </is>
      </c>
      <c r="C61" s="5" t="inlineStr">
        <is>
          <t>AddCar controller</t>
        </is>
      </c>
      <c r="D61" s="5" t="inlineStr">
        <is>
          <t>Feature</t>
        </is>
      </c>
      <c r="E61" s="5" t="inlineStr"/>
      <c r="F61" s="6" t="n">
        <v>46345</v>
      </c>
      <c r="G61" s="6" t="n">
        <v>46347</v>
      </c>
      <c r="H61" s="7">
        <f>G61-F61+1</f>
        <v/>
      </c>
      <c r="I61" s="4" t="inlineStr">
        <is>
          <t>To do</t>
        </is>
      </c>
      <c r="J61" s="8" t="inlineStr">
        <is>
          <t>https://trello.com/c/JUUM49D7</t>
        </is>
      </c>
    </row>
    <row r="62">
      <c r="A62" s="4" t="inlineStr">
        <is>
          <t>6.5</t>
        </is>
      </c>
      <c r="B62" s="4" t="inlineStr">
        <is>
          <t>Sprint 6</t>
        </is>
      </c>
      <c r="C62" s="5" t="inlineStr">
        <is>
          <t>AddCar DTO and its mapper</t>
        </is>
      </c>
      <c r="D62" s="5" t="inlineStr">
        <is>
          <t>Feature</t>
        </is>
      </c>
      <c r="E62" s="5" t="inlineStr"/>
      <c r="F62" s="6" t="n">
        <v>46345</v>
      </c>
      <c r="G62" s="6" t="n">
        <v>46347</v>
      </c>
      <c r="H62" s="7">
        <f>G62-F62+1</f>
        <v/>
      </c>
      <c r="I62" s="4" t="inlineStr">
        <is>
          <t>To do</t>
        </is>
      </c>
      <c r="J62" s="8" t="inlineStr">
        <is>
          <t>https://trello.com/c/YIya8MUK</t>
        </is>
      </c>
    </row>
    <row r="63">
      <c r="A63" s="4" t="inlineStr">
        <is>
          <t>6.6</t>
        </is>
      </c>
      <c r="B63" s="4" t="inlineStr">
        <is>
          <t>Sprint 6</t>
        </is>
      </c>
      <c r="C63" s="5" t="inlineStr">
        <is>
          <t>Testing with the front end</t>
        </is>
      </c>
      <c r="D63" s="5" t="inlineStr">
        <is>
          <t>Integrating with Frontend</t>
        </is>
      </c>
      <c r="E63" s="5" t="inlineStr"/>
      <c r="F63" s="6" t="n">
        <v>46339</v>
      </c>
      <c r="G63" s="6" t="n">
        <v>46348</v>
      </c>
      <c r="H63" s="7">
        <f>G63-F63+1</f>
        <v/>
      </c>
      <c r="I63" s="4" t="inlineStr">
        <is>
          <t>To do</t>
        </is>
      </c>
      <c r="J63" s="8" t="inlineStr">
        <is>
          <t>https://trello.com/c/01CM7B17</t>
        </is>
      </c>
    </row>
    <row r="64">
      <c r="A64" s="4" t="inlineStr">
        <is>
          <t>6.7</t>
        </is>
      </c>
      <c r="B64" s="4" t="inlineStr">
        <is>
          <t>Sprint 6</t>
        </is>
      </c>
      <c r="C64" s="5" t="inlineStr">
        <is>
          <t>Bug fixing and edits</t>
        </is>
      </c>
      <c r="D64" s="5" t="inlineStr">
        <is>
          <t>Testing</t>
        </is>
      </c>
      <c r="E64" s="5" t="inlineStr"/>
      <c r="F64" s="6" t="n">
        <v>46339</v>
      </c>
      <c r="G64" s="6" t="n">
        <v>46348</v>
      </c>
      <c r="H64" s="7">
        <f>G64-F64+1</f>
        <v/>
      </c>
      <c r="I64" s="4" t="inlineStr">
        <is>
          <t>To do</t>
        </is>
      </c>
      <c r="J64" s="8" t="inlineStr">
        <is>
          <t>https://trello.com/c/mZVKaGMl</t>
        </is>
      </c>
    </row>
    <row r="65">
      <c r="A65" s="4" t="inlineStr">
        <is>
          <t>7.1</t>
        </is>
      </c>
      <c r="B65" s="4" t="inlineStr">
        <is>
          <t>Sprint 7</t>
        </is>
      </c>
      <c r="C65" s="5" t="inlineStr">
        <is>
          <t>EditCar controller</t>
        </is>
      </c>
      <c r="D65" s="5" t="inlineStr">
        <is>
          <t>Feature</t>
        </is>
      </c>
      <c r="E65" s="5" t="inlineStr"/>
      <c r="F65" s="6" t="n">
        <v>46349</v>
      </c>
      <c r="G65" s="6" t="n">
        <v>46351</v>
      </c>
      <c r="H65" s="7">
        <f>G65-F65+1</f>
        <v/>
      </c>
      <c r="I65" s="4" t="inlineStr">
        <is>
          <t>To do</t>
        </is>
      </c>
      <c r="J65" s="8" t="inlineStr">
        <is>
          <t>https://trello.com/c/Vwhs7g9J</t>
        </is>
      </c>
    </row>
    <row r="66">
      <c r="A66" s="4" t="inlineStr">
        <is>
          <t>7.2</t>
        </is>
      </c>
      <c r="B66" s="4" t="inlineStr">
        <is>
          <t>Sprint 7</t>
        </is>
      </c>
      <c r="C66" s="5" t="inlineStr">
        <is>
          <t>RecordReturn controller</t>
        </is>
      </c>
      <c r="D66" s="5" t="inlineStr">
        <is>
          <t>Feature</t>
        </is>
      </c>
      <c r="E66" s="5" t="inlineStr"/>
      <c r="F66" s="6" t="n">
        <v>46349</v>
      </c>
      <c r="G66" s="6" t="n">
        <v>46351</v>
      </c>
      <c r="H66" s="7">
        <f>G66-F66+1</f>
        <v/>
      </c>
      <c r="I66" s="4" t="inlineStr">
        <is>
          <t>To do</t>
        </is>
      </c>
      <c r="J66" s="8" t="inlineStr">
        <is>
          <t>https://trello.com/c/kvaM6AD2</t>
        </is>
      </c>
    </row>
    <row r="67">
      <c r="A67" s="4" t="inlineStr">
        <is>
          <t>7.3</t>
        </is>
      </c>
      <c r="B67" s="4" t="inlineStr">
        <is>
          <t>Sprint 7</t>
        </is>
      </c>
      <c r="C67" s="5" t="inlineStr">
        <is>
          <t>Admin profile endpoints</t>
        </is>
      </c>
      <c r="D67" s="5" t="inlineStr">
        <is>
          <t>Feature</t>
        </is>
      </c>
      <c r="E67" s="5" t="inlineStr"/>
      <c r="F67" s="6" t="n">
        <v>46351</v>
      </c>
      <c r="G67" s="6" t="n">
        <v>46353</v>
      </c>
      <c r="H67" s="7">
        <f>G67-F67+1</f>
        <v/>
      </c>
      <c r="I67" s="4" t="inlineStr">
        <is>
          <t>To do</t>
        </is>
      </c>
      <c r="J67" s="8" t="inlineStr">
        <is>
          <t>https://trello.com/c/mD7RNnDy</t>
        </is>
      </c>
    </row>
    <row r="68">
      <c r="A68" s="4" t="inlineStr">
        <is>
          <t>7.4</t>
        </is>
      </c>
      <c r="B68" s="4" t="inlineStr">
        <is>
          <t>Sprint 7</t>
        </is>
      </c>
      <c r="C68" s="5" t="inlineStr">
        <is>
          <t>DeleteCar controller</t>
        </is>
      </c>
      <c r="D68" s="5" t="inlineStr">
        <is>
          <t>Milestone, Feature</t>
        </is>
      </c>
      <c r="E68" s="5" t="inlineStr"/>
      <c r="F68" s="6" t="n">
        <v>46351</v>
      </c>
      <c r="G68" s="6" t="n">
        <v>46355</v>
      </c>
      <c r="H68" s="7">
        <f>G68-F68+1</f>
        <v/>
      </c>
      <c r="I68" s="4" t="inlineStr">
        <is>
          <t>To do</t>
        </is>
      </c>
      <c r="J68" s="8" t="inlineStr">
        <is>
          <t>https://trello.com/c/ErdjjFYd</t>
        </is>
      </c>
    </row>
    <row r="69">
      <c r="A69" s="4" t="inlineStr">
        <is>
          <t>7.5</t>
        </is>
      </c>
      <c r="B69" s="4" t="inlineStr">
        <is>
          <t>Sprint 7</t>
        </is>
      </c>
      <c r="C69" s="5" t="inlineStr">
        <is>
          <t>Testing with the front end</t>
        </is>
      </c>
      <c r="D69" s="5" t="inlineStr">
        <is>
          <t>Integrating with Frontend</t>
        </is>
      </c>
      <c r="E69" s="5" t="inlineStr"/>
      <c r="F69" s="6" t="n">
        <v>46349</v>
      </c>
      <c r="G69" s="6" t="n">
        <v>46358</v>
      </c>
      <c r="H69" s="7">
        <f>G69-F69+1</f>
        <v/>
      </c>
      <c r="I69" s="4" t="inlineStr">
        <is>
          <t>To do</t>
        </is>
      </c>
      <c r="J69" s="8" t="inlineStr">
        <is>
          <t>https://trello.com/c/o2jdTlZt</t>
        </is>
      </c>
    </row>
    <row r="70">
      <c r="A70" s="4" t="inlineStr">
        <is>
          <t>7.6</t>
        </is>
      </c>
      <c r="B70" s="4" t="inlineStr">
        <is>
          <t>Sprint 7</t>
        </is>
      </c>
      <c r="C70" s="5" t="inlineStr">
        <is>
          <t>Bug fixing and edits</t>
        </is>
      </c>
      <c r="D70" s="5" t="inlineStr">
        <is>
          <t>Testing</t>
        </is>
      </c>
      <c r="E70" s="5" t="inlineStr"/>
      <c r="F70" s="6" t="n">
        <v>46349</v>
      </c>
      <c r="G70" s="6" t="n">
        <v>46358</v>
      </c>
      <c r="H70" s="7">
        <f>G70-F70+1</f>
        <v/>
      </c>
      <c r="I70" s="4" t="inlineStr">
        <is>
          <t>To do</t>
        </is>
      </c>
      <c r="J70" s="8" t="inlineStr">
        <is>
          <t>https://trello.com/c/9UE8HTBT</t>
        </is>
      </c>
    </row>
    <row r="71">
      <c r="A71" s="4" t="inlineStr">
        <is>
          <t>8.1</t>
        </is>
      </c>
      <c r="B71" s="4" t="inlineStr">
        <is>
          <t>Sprint 8</t>
        </is>
      </c>
      <c r="C71" s="5" t="inlineStr">
        <is>
          <t>Test the whole system and fix any bugs</t>
        </is>
      </c>
      <c r="D71" s="5" t="inlineStr">
        <is>
          <t>Testing, Integrating with Frontend</t>
        </is>
      </c>
      <c r="E71" s="5" t="inlineStr"/>
      <c r="F71" s="6" t="n">
        <v>46358</v>
      </c>
      <c r="G71" s="6" t="n">
        <v>46381</v>
      </c>
      <c r="H71" s="7">
        <f>G71-F71+1</f>
        <v/>
      </c>
      <c r="I71" s="4" t="inlineStr">
        <is>
          <t>To do</t>
        </is>
      </c>
      <c r="J71" s="8" t="inlineStr">
        <is>
          <t>https://trello.com/c/nw3eoCRm</t>
        </is>
      </c>
    </row>
  </sheetData>
  <autoFilter ref="A4:J71"/>
  <conditionalFormatting sqref="A5:J71">
    <cfRule type="expression" priority="1" dxfId="0">
      <formula>$I5="Done"</formula>
    </cfRule>
  </conditionalFormatting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  <hyperlink xmlns:r="http://schemas.openxmlformats.org/officeDocument/2006/relationships" ref="J27" r:id="rId23"/>
    <hyperlink xmlns:r="http://schemas.openxmlformats.org/officeDocument/2006/relationships" ref="J28" r:id="rId24"/>
    <hyperlink xmlns:r="http://schemas.openxmlformats.org/officeDocument/2006/relationships" ref="J29" r:id="rId25"/>
    <hyperlink xmlns:r="http://schemas.openxmlformats.org/officeDocument/2006/relationships" ref="J30" r:id="rId26"/>
    <hyperlink xmlns:r="http://schemas.openxmlformats.org/officeDocument/2006/relationships" ref="J31" r:id="rId27"/>
    <hyperlink xmlns:r="http://schemas.openxmlformats.org/officeDocument/2006/relationships" ref="J32" r:id="rId28"/>
    <hyperlink xmlns:r="http://schemas.openxmlformats.org/officeDocument/2006/relationships" ref="J33" r:id="rId29"/>
    <hyperlink xmlns:r="http://schemas.openxmlformats.org/officeDocument/2006/relationships" ref="J34" r:id="rId30"/>
    <hyperlink xmlns:r="http://schemas.openxmlformats.org/officeDocument/2006/relationships" ref="J35" r:id="rId31"/>
    <hyperlink xmlns:r="http://schemas.openxmlformats.org/officeDocument/2006/relationships" ref="J36" r:id="rId32"/>
    <hyperlink xmlns:r="http://schemas.openxmlformats.org/officeDocument/2006/relationships" ref="J37" r:id="rId33"/>
    <hyperlink xmlns:r="http://schemas.openxmlformats.org/officeDocument/2006/relationships" ref="J38" r:id="rId34"/>
    <hyperlink xmlns:r="http://schemas.openxmlformats.org/officeDocument/2006/relationships" ref="J39" r:id="rId35"/>
    <hyperlink xmlns:r="http://schemas.openxmlformats.org/officeDocument/2006/relationships" ref="J40" r:id="rId36"/>
    <hyperlink xmlns:r="http://schemas.openxmlformats.org/officeDocument/2006/relationships" ref="J41" r:id="rId37"/>
    <hyperlink xmlns:r="http://schemas.openxmlformats.org/officeDocument/2006/relationships" ref="J42" r:id="rId38"/>
    <hyperlink xmlns:r="http://schemas.openxmlformats.org/officeDocument/2006/relationships" ref="J43" r:id="rId39"/>
    <hyperlink xmlns:r="http://schemas.openxmlformats.org/officeDocument/2006/relationships" ref="J44" r:id="rId40"/>
    <hyperlink xmlns:r="http://schemas.openxmlformats.org/officeDocument/2006/relationships" ref="J45" r:id="rId41"/>
    <hyperlink xmlns:r="http://schemas.openxmlformats.org/officeDocument/2006/relationships" ref="J46" r:id="rId42"/>
    <hyperlink xmlns:r="http://schemas.openxmlformats.org/officeDocument/2006/relationships" ref="J47" r:id="rId43"/>
    <hyperlink xmlns:r="http://schemas.openxmlformats.org/officeDocument/2006/relationships" ref="J48" r:id="rId44"/>
    <hyperlink xmlns:r="http://schemas.openxmlformats.org/officeDocument/2006/relationships" ref="J49" r:id="rId45"/>
    <hyperlink xmlns:r="http://schemas.openxmlformats.org/officeDocument/2006/relationships" ref="J50" r:id="rId46"/>
    <hyperlink xmlns:r="http://schemas.openxmlformats.org/officeDocument/2006/relationships" ref="J51" r:id="rId47"/>
    <hyperlink xmlns:r="http://schemas.openxmlformats.org/officeDocument/2006/relationships" ref="J52" r:id="rId48"/>
    <hyperlink xmlns:r="http://schemas.openxmlformats.org/officeDocument/2006/relationships" ref="J53" r:id="rId49"/>
    <hyperlink xmlns:r="http://schemas.openxmlformats.org/officeDocument/2006/relationships" ref="J54" r:id="rId50"/>
    <hyperlink xmlns:r="http://schemas.openxmlformats.org/officeDocument/2006/relationships" ref="J55" r:id="rId51"/>
    <hyperlink xmlns:r="http://schemas.openxmlformats.org/officeDocument/2006/relationships" ref="J56" r:id="rId52"/>
    <hyperlink xmlns:r="http://schemas.openxmlformats.org/officeDocument/2006/relationships" ref="J57" r:id="rId53"/>
    <hyperlink xmlns:r="http://schemas.openxmlformats.org/officeDocument/2006/relationships" ref="J58" r:id="rId54"/>
    <hyperlink xmlns:r="http://schemas.openxmlformats.org/officeDocument/2006/relationships" ref="J59" r:id="rId55"/>
    <hyperlink xmlns:r="http://schemas.openxmlformats.org/officeDocument/2006/relationships" ref="J60" r:id="rId56"/>
    <hyperlink xmlns:r="http://schemas.openxmlformats.org/officeDocument/2006/relationships" ref="J61" r:id="rId57"/>
    <hyperlink xmlns:r="http://schemas.openxmlformats.org/officeDocument/2006/relationships" ref="J62" r:id="rId58"/>
    <hyperlink xmlns:r="http://schemas.openxmlformats.org/officeDocument/2006/relationships" ref="J63" r:id="rId59"/>
    <hyperlink xmlns:r="http://schemas.openxmlformats.org/officeDocument/2006/relationships" ref="J64" r:id="rId60"/>
    <hyperlink xmlns:r="http://schemas.openxmlformats.org/officeDocument/2006/relationships" ref="J65" r:id="rId61"/>
    <hyperlink xmlns:r="http://schemas.openxmlformats.org/officeDocument/2006/relationships" ref="J66" r:id="rId62"/>
    <hyperlink xmlns:r="http://schemas.openxmlformats.org/officeDocument/2006/relationships" ref="J67" r:id="rId63"/>
    <hyperlink xmlns:r="http://schemas.openxmlformats.org/officeDocument/2006/relationships" ref="J68" r:id="rId64"/>
    <hyperlink xmlns:r="http://schemas.openxmlformats.org/officeDocument/2006/relationships" ref="J69" r:id="rId65"/>
    <hyperlink xmlns:r="http://schemas.openxmlformats.org/officeDocument/2006/relationships" ref="J70" r:id="rId66"/>
    <hyperlink xmlns:r="http://schemas.openxmlformats.org/officeDocument/2006/relationships" ref="J71" r:id="rId67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52" customWidth="1" min="3" max="3"/>
    <col width="13" customWidth="1" min="4" max="4"/>
    <col width="13" customWidth="1" min="5" max="5"/>
    <col width="7" customWidth="1" min="6" max="6"/>
    <col width="7" customWidth="1" min="7" max="7"/>
    <col width="7" customWidth="1" min="8" max="8"/>
    <col width="9" customWidth="1" min="9" max="9"/>
  </cols>
  <sheetData>
    <row r="1">
      <c r="A1" s="1" t="inlineStr">
        <is>
          <t>Wayfare: sprints</t>
        </is>
      </c>
    </row>
    <row r="2">
      <c r="A2" s="2" t="inlineStr">
        <is>
          <t>Each sprint is one list on the Trello board. Start, End, Cards and Done are formulas over the Sprint backlog sheet.</t>
        </is>
      </c>
    </row>
    <row r="4" ht="20" customHeight="1">
      <c r="A4" s="3" t="inlineStr">
        <is>
          <t>Sprint</t>
        </is>
      </c>
      <c r="B4" s="3" t="inlineStr">
        <is>
          <t>Focus</t>
        </is>
      </c>
      <c r="C4" s="3" t="inlineStr">
        <is>
          <t>Trello list</t>
        </is>
      </c>
      <c r="D4" s="3" t="inlineStr">
        <is>
          <t>Start</t>
        </is>
      </c>
      <c r="E4" s="3" t="inlineStr">
        <is>
          <t>End</t>
        </is>
      </c>
      <c r="F4" s="3" t="inlineStr">
        <is>
          <t>Days</t>
        </is>
      </c>
      <c r="G4" s="3" t="inlineStr">
        <is>
          <t>Cards</t>
        </is>
      </c>
      <c r="H4" s="3" t="inlineStr">
        <is>
          <t>Done</t>
        </is>
      </c>
      <c r="I4" s="3" t="inlineStr">
        <is>
          <t>Done %</t>
        </is>
      </c>
    </row>
    <row r="5">
      <c r="A5" s="4" t="inlineStr">
        <is>
          <t>Sprint 1</t>
        </is>
      </c>
      <c r="B5" s="5" t="inlineStr">
        <is>
          <t>Front-end wireframe and project structure</t>
        </is>
      </c>
      <c r="C5" s="5" t="inlineStr">
        <is>
          <t>Sprint 1 - Frontend WireFrame &amp;&amp; Project Structure</t>
        </is>
      </c>
      <c r="D5" s="6">
        <f>MIN('Sprint backlog'!F5:F10)</f>
        <v/>
      </c>
      <c r="E5" s="6">
        <f>MAX('Sprint backlog'!G5:G10)</f>
        <v/>
      </c>
      <c r="F5" s="7">
        <f>E5-D5+1</f>
        <v/>
      </c>
      <c r="G5" s="7">
        <f>COUNTA('Sprint backlog'!C5:C10)</f>
        <v/>
      </c>
      <c r="H5" s="7">
        <f>COUNTIF('Sprint backlog'!I5:I10,"Done")</f>
        <v/>
      </c>
      <c r="I5" s="9">
        <f>IF(G5=0,0,H5/G5)</f>
        <v/>
      </c>
    </row>
    <row r="6">
      <c r="A6" s="4" t="inlineStr">
        <is>
          <t>Sprint 2</t>
        </is>
      </c>
      <c r="B6" s="5" t="inlineStr">
        <is>
          <t>Back-end data and database</t>
        </is>
      </c>
      <c r="C6" s="5" t="inlineStr">
        <is>
          <t>Sprint 2 - Backend Data &amp;&amp; Database</t>
        </is>
      </c>
      <c r="D6" s="6">
        <f>MIN('Sprint backlog'!F11:F19)</f>
        <v/>
      </c>
      <c r="E6" s="6">
        <f>MAX('Sprint backlog'!G11:G19)</f>
        <v/>
      </c>
      <c r="F6" s="7">
        <f>E6-D6+1</f>
        <v/>
      </c>
      <c r="G6" s="7">
        <f>COUNTA('Sprint backlog'!C11:C19)</f>
        <v/>
      </c>
      <c r="H6" s="7">
        <f>COUNTIF('Sprint backlog'!I11:I19,"Done")</f>
        <v/>
      </c>
      <c r="I6" s="9">
        <f>IF(G6=0,0,H6/G6)</f>
        <v/>
      </c>
    </row>
    <row r="7">
      <c r="A7" s="4" t="inlineStr">
        <is>
          <t>Sprint 3</t>
        </is>
      </c>
      <c r="B7" s="5" t="inlineStr">
        <is>
          <t>Authentication endpoints and one customer endpoint</t>
        </is>
      </c>
      <c r="C7" s="5" t="inlineStr">
        <is>
          <t>Sprint 3 - Authentication Endpoints + one cutomer endpoint</t>
        </is>
      </c>
      <c r="D7" s="6">
        <f>MIN('Sprint backlog'!F20:F36)</f>
        <v/>
      </c>
      <c r="E7" s="6">
        <f>MAX('Sprint backlog'!G20:G36)</f>
        <v/>
      </c>
      <c r="F7" s="7">
        <f>E7-D7+1</f>
        <v/>
      </c>
      <c r="G7" s="7">
        <f>COUNTA('Sprint backlog'!C20:C36)</f>
        <v/>
      </c>
      <c r="H7" s="7">
        <f>COUNTIF('Sprint backlog'!I20:I36,"Done")</f>
        <v/>
      </c>
      <c r="I7" s="9">
        <f>IF(G7=0,0,H7/G7)</f>
        <v/>
      </c>
    </row>
    <row r="8">
      <c r="A8" s="4" t="inlineStr">
        <is>
          <t>Sprint 4</t>
        </is>
      </c>
      <c r="B8" s="5" t="inlineStr">
        <is>
          <t>Customer endpoints</t>
        </is>
      </c>
      <c r="C8" s="5" t="inlineStr">
        <is>
          <t>Sprint 4 - 3 Customer Endpoints</t>
        </is>
      </c>
      <c r="D8" s="6">
        <f>MIN('Sprint backlog'!F37:F48)</f>
        <v/>
      </c>
      <c r="E8" s="6">
        <f>MAX('Sprint backlog'!G37:G48)</f>
        <v/>
      </c>
      <c r="F8" s="7">
        <f>E8-D8+1</f>
        <v/>
      </c>
      <c r="G8" s="7">
        <f>COUNTA('Sprint backlog'!C37:C48)</f>
        <v/>
      </c>
      <c r="H8" s="7">
        <f>COUNTIF('Sprint backlog'!I37:I48,"Done")</f>
        <v/>
      </c>
      <c r="I8" s="9">
        <f>IF(G8=0,0,H8/G8)</f>
        <v/>
      </c>
    </row>
    <row r="9">
      <c r="A9" s="4" t="inlineStr">
        <is>
          <t>Sprint 5</t>
        </is>
      </c>
      <c r="B9" s="5" t="inlineStr">
        <is>
          <t>Admin listing functionalities</t>
        </is>
      </c>
      <c r="C9" s="5" t="inlineStr">
        <is>
          <t>Sprint 5 - Admin Listing Functionalities</t>
        </is>
      </c>
      <c r="D9" s="6">
        <f>MIN('Sprint backlog'!F49:F57)</f>
        <v/>
      </c>
      <c r="E9" s="6">
        <f>MAX('Sprint backlog'!G49:G57)</f>
        <v/>
      </c>
      <c r="F9" s="7">
        <f>E9-D9+1</f>
        <v/>
      </c>
      <c r="G9" s="7">
        <f>COUNTA('Sprint backlog'!C49:C57)</f>
        <v/>
      </c>
      <c r="H9" s="7">
        <f>COUNTIF('Sprint backlog'!I49:I57,"Done")</f>
        <v/>
      </c>
      <c r="I9" s="9">
        <f>IF(G9=0,0,H9/G9)</f>
        <v/>
      </c>
    </row>
    <row r="10">
      <c r="A10" s="4" t="inlineStr">
        <is>
          <t>Sprint 6</t>
        </is>
      </c>
      <c r="B10" s="5" t="inlineStr">
        <is>
          <t>Admin core functionalities</t>
        </is>
      </c>
      <c r="C10" s="5" t="inlineStr">
        <is>
          <t>Sprint 6 - Admin Core Functionalities</t>
        </is>
      </c>
      <c r="D10" s="6">
        <f>MIN('Sprint backlog'!F58:F64)</f>
        <v/>
      </c>
      <c r="E10" s="6">
        <f>MAX('Sprint backlog'!G58:G64)</f>
        <v/>
      </c>
      <c r="F10" s="7">
        <f>E10-D10+1</f>
        <v/>
      </c>
      <c r="G10" s="7">
        <f>COUNTA('Sprint backlog'!C58:C64)</f>
        <v/>
      </c>
      <c r="H10" s="7">
        <f>COUNTIF('Sprint backlog'!I58:I64,"Done")</f>
        <v/>
      </c>
      <c r="I10" s="9">
        <f>IF(G10=0,0,H10/G10)</f>
        <v/>
      </c>
    </row>
    <row r="11">
      <c r="A11" s="4" t="inlineStr">
        <is>
          <t>Sprint 7</t>
        </is>
      </c>
      <c r="B11" s="5" t="inlineStr">
        <is>
          <t>Admin endpoints, part 2</t>
        </is>
      </c>
      <c r="C11" s="5" t="inlineStr">
        <is>
          <t>Sprint 7 - admin endpoints part 2</t>
        </is>
      </c>
      <c r="D11" s="6">
        <f>MIN('Sprint backlog'!F65:F70)</f>
        <v/>
      </c>
      <c r="E11" s="6">
        <f>MAX('Sprint backlog'!G65:G70)</f>
        <v/>
      </c>
      <c r="F11" s="7">
        <f>E11-D11+1</f>
        <v/>
      </c>
      <c r="G11" s="7">
        <f>COUNTA('Sprint backlog'!C65:C70)</f>
        <v/>
      </c>
      <c r="H11" s="7">
        <f>COUNTIF('Sprint backlog'!I65:I70,"Done")</f>
        <v/>
      </c>
      <c r="I11" s="9">
        <f>IF(G11=0,0,H11/G11)</f>
        <v/>
      </c>
    </row>
    <row r="12">
      <c r="A12" s="4" t="inlineStr">
        <is>
          <t>Sprint 8</t>
        </is>
      </c>
      <c r="B12" s="5" t="inlineStr">
        <is>
          <t>Final testing</t>
        </is>
      </c>
      <c r="C12" s="5" t="inlineStr">
        <is>
          <t>Sprint 8 - Final Testing</t>
        </is>
      </c>
      <c r="D12" s="6">
        <f>MIN('Sprint backlog'!F71:F71)</f>
        <v/>
      </c>
      <c r="E12" s="6">
        <f>MAX('Sprint backlog'!G71:G71)</f>
        <v/>
      </c>
      <c r="F12" s="7">
        <f>E12-D12+1</f>
        <v/>
      </c>
      <c r="G12" s="7">
        <f>COUNTA('Sprint backlog'!C71:C71)</f>
        <v/>
      </c>
      <c r="H12" s="7">
        <f>COUNTIF('Sprint backlog'!I71:I71,"Done")</f>
        <v/>
      </c>
      <c r="I12" s="9">
        <f>IF(G12=0,0,H12/G12)</f>
        <v/>
      </c>
    </row>
    <row r="13">
      <c r="A13" s="10" t="inlineStr">
        <is>
          <t>Total</t>
        </is>
      </c>
      <c r="B13" s="10" t="inlineStr"/>
      <c r="C13" s="10" t="inlineStr"/>
      <c r="D13" s="11">
        <f>MIN(D5:D12)</f>
        <v/>
      </c>
      <c r="E13" s="11">
        <f>MAX(E5:E12)</f>
        <v/>
      </c>
      <c r="F13" s="12">
        <f>E13-D13+1</f>
        <v/>
      </c>
      <c r="G13" s="12">
        <f>SUM(G5:G12)</f>
        <v/>
      </c>
      <c r="H13" s="12">
        <f>SUM(H5:H12)</f>
        <v/>
      </c>
      <c r="I13" s="13">
        <f>IF(G13=0,0,H13/G13)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6" customWidth="1" min="3" max="3"/>
    <col width="62" customWidth="1" min="4" max="4"/>
    <col width="10" customWidth="1" min="5" max="5"/>
    <col width="40" customWidth="1" min="6" max="6"/>
  </cols>
  <sheetData>
    <row r="1">
      <c r="A1" s="1" t="inlineStr">
        <is>
          <t>Wayfare: milestones</t>
        </is>
      </c>
    </row>
    <row r="2">
      <c r="A2" s="2" t="inlineStr">
        <is>
          <t>Milestones are the cards with the Milestone label on the Trello board. "End" is the last due date on the board.</t>
        </is>
      </c>
    </row>
    <row r="4" ht="20" customHeight="1">
      <c r="A4" s="3" t="inlineStr">
        <is>
          <t>Ref</t>
        </is>
      </c>
      <c r="B4" s="3" t="inlineStr">
        <is>
          <t>Date</t>
        </is>
      </c>
      <c r="C4" s="3" t="inlineStr">
        <is>
          <t>Milestone</t>
        </is>
      </c>
      <c r="D4" s="3" t="inlineStr">
        <is>
          <t>Done when</t>
        </is>
      </c>
      <c r="E4" s="3" t="inlineStr">
        <is>
          <t>Sprint</t>
        </is>
      </c>
      <c r="F4" s="3" t="inlineStr">
        <is>
          <t>Trello card</t>
        </is>
      </c>
    </row>
    <row r="5">
      <c r="A5" s="4" t="inlineStr">
        <is>
          <t>M1</t>
        </is>
      </c>
      <c r="B5" s="14" t="n">
        <v>46306</v>
      </c>
      <c r="C5" s="5" t="inlineStr">
        <is>
          <t>DbContext and database ready</t>
        </is>
      </c>
      <c r="D5" s="5" t="inlineStr">
        <is>
          <t>The DbContext is set up and the database is created from the models.</t>
        </is>
      </c>
      <c r="E5" s="4" t="inlineStr">
        <is>
          <t>Sprint 2</t>
        </is>
      </c>
      <c r="F5" s="8" t="inlineStr">
        <is>
          <t>https://trello.com/c/EZ9lnIYX</t>
        </is>
      </c>
    </row>
    <row r="6">
      <c r="A6" s="4" t="inlineStr">
        <is>
          <t>M2</t>
        </is>
      </c>
      <c r="B6" s="14" t="n">
        <v>46314</v>
      </c>
      <c r="C6" s="5" t="inlineStr">
        <is>
          <t>Authentication and authorization live</t>
        </is>
      </c>
      <c r="D6" s="5" t="inlineStr">
        <is>
          <t>Login and register run on ASP.NET Core Identity with JWT tokens and roles.</t>
        </is>
      </c>
      <c r="E6" s="4" t="inlineStr">
        <is>
          <t>Sprint 3</t>
        </is>
      </c>
      <c r="F6" s="8" t="inlineStr">
        <is>
          <t>https://trello.com/c/YnKxkEPO</t>
        </is>
      </c>
    </row>
    <row r="7">
      <c r="A7" s="4" t="inlineStr">
        <is>
          <t>M3</t>
        </is>
      </c>
      <c r="B7" s="14" t="n">
        <v>46355</v>
      </c>
      <c r="C7" s="5" t="inlineStr">
        <is>
          <t>Last app feature built</t>
        </is>
      </c>
      <c r="D7" s="5" t="inlineStr">
        <is>
          <t>DeleteCar, the last feature card on the board, is done.</t>
        </is>
      </c>
      <c r="E7" s="4" t="inlineStr">
        <is>
          <t>Sprint 7</t>
        </is>
      </c>
      <c r="F7" s="8" t="inlineStr">
        <is>
          <t>https://trello.com/c/ErdjjFYd</t>
        </is>
      </c>
    </row>
    <row r="8">
      <c r="A8" s="4" t="inlineStr">
        <is>
          <t>End</t>
        </is>
      </c>
      <c r="B8" s="14" t="n">
        <v>46381</v>
      </c>
      <c r="C8" s="5" t="inlineStr">
        <is>
          <t>Final testing complete</t>
        </is>
      </c>
      <c r="D8" s="5" t="inlineStr">
        <is>
          <t>The whole system is tested with the front end and the bugs found are fixed.</t>
        </is>
      </c>
      <c r="E8" s="4" t="inlineStr">
        <is>
          <t>Sprint 8</t>
        </is>
      </c>
      <c r="F8" s="8" t="inlineStr">
        <is>
          <t>https://trello.com/c/nw3eoCRm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8" customWidth="1" min="3" max="3"/>
    <col width="10" customWidth="1" min="4" max="4"/>
    <col width="13" customWidth="1" min="5" max="5"/>
    <col width="13" customWidth="1" min="6" max="6"/>
    <col width="7" customWidth="1" min="7" max="7"/>
    <col width="34" customWidth="1" min="8" max="8"/>
    <col width="12" customWidth="1" min="9" max="9"/>
    <col width="12" customWidth="1" min="10" max="10"/>
    <col width="15" customWidth="1" min="11" max="11"/>
    <col width="12" customWidth="1" min="12" max="12"/>
  </cols>
  <sheetData>
    <row r="1">
      <c r="A1" s="1" t="inlineStr">
        <is>
          <t>Wayfare: back-end package plan</t>
        </is>
      </c>
    </row>
    <row r="2">
      <c r="A2" s="2" t="inlineStr">
        <is>
          <t>Snapshot of 16 Oct 2026: card sizes S 2, M 4, L 8 hours, 2 hours a day for each member, every calendar day counts. A package starts when the cards it needs are finished. Start and End come from the Backend Board; Cards, Work, Days and Spare are formulas.</t>
        </is>
      </c>
    </row>
    <row r="4" ht="20" customHeight="1">
      <c r="A4" s="3" t="inlineStr">
        <is>
          <t>Package</t>
        </is>
      </c>
      <c r="B4" s="3" t="inlineStr">
        <is>
          <t>Name</t>
        </is>
      </c>
      <c r="C4" s="3" t="inlineStr">
        <is>
          <t>Cards</t>
        </is>
      </c>
      <c r="D4" s="3" t="inlineStr">
        <is>
          <t>Work (h)</t>
        </is>
      </c>
      <c r="E4" s="3" t="inlineStr">
        <is>
          <t>Start</t>
        </is>
      </c>
      <c r="F4" s="3" t="inlineStr">
        <is>
          <t>End</t>
        </is>
      </c>
      <c r="G4" s="3" t="inlineStr">
        <is>
          <t>Days</t>
        </is>
      </c>
      <c r="H4" s="3" t="inlineStr">
        <is>
          <t>Needs first</t>
        </is>
      </c>
      <c r="I4" s="3" t="inlineStr">
        <is>
          <t>Room (days)</t>
        </is>
      </c>
      <c r="J4" s="3" t="inlineStr">
        <is>
          <t>Critical path</t>
        </is>
      </c>
      <c r="K4" s="3" t="inlineStr">
        <is>
          <t>Trello deadline</t>
        </is>
      </c>
      <c r="L4" s="3" t="inlineStr">
        <is>
          <t>Spare (days)</t>
        </is>
      </c>
    </row>
    <row r="5">
      <c r="A5" s="4" t="inlineStr">
        <is>
          <t>A</t>
        </is>
      </c>
      <c r="B5" s="5" t="inlineStr">
        <is>
          <t>Foundation and sign in</t>
        </is>
      </c>
      <c r="C5" s="7">
        <f>COUNTIF('Package cards'!$A$5:$A$42,A5)</f>
        <v/>
      </c>
      <c r="D5" s="7">
        <f>SUMIF('Package cards'!$A$5:$A$42,A5,'Package cards'!$E$5:$E$42)</f>
        <v/>
      </c>
      <c r="E5" s="14" t="n">
        <v>46311</v>
      </c>
      <c r="F5" s="14" t="n">
        <v>46321</v>
      </c>
      <c r="G5" s="7">
        <f>F5-E5+1</f>
        <v/>
      </c>
      <c r="H5" s="5" t="inlineStr">
        <is>
          <t>Nothing</t>
        </is>
      </c>
      <c r="I5" s="7" t="n">
        <v>0</v>
      </c>
      <c r="J5" s="15" t="inlineStr">
        <is>
          <t>Yes</t>
        </is>
      </c>
      <c r="K5" s="6" t="n">
        <v>46317</v>
      </c>
      <c r="L5" s="7">
        <f>IF(K5="","",K5-F5)</f>
        <v/>
      </c>
    </row>
    <row r="6">
      <c r="A6" s="4" t="inlineStr">
        <is>
          <t>B</t>
        </is>
      </c>
      <c r="B6" s="5" t="inlineStr">
        <is>
          <t>Accounts and profiles</t>
        </is>
      </c>
      <c r="C6" s="7">
        <f>COUNTIF('Package cards'!$A$5:$A$42,A6)</f>
        <v/>
      </c>
      <c r="D6" s="7">
        <f>SUMIF('Package cards'!$A$5:$A$42,A6,'Package cards'!$E$5:$E$42)</f>
        <v/>
      </c>
      <c r="E6" s="14" t="n">
        <v>46311</v>
      </c>
      <c r="F6" s="14" t="n">
        <v>46324</v>
      </c>
      <c r="G6" s="7">
        <f>F6-E6+1</f>
        <v/>
      </c>
      <c r="H6" s="5" t="inlineStr">
        <is>
          <t>A (ready 23 Oct)</t>
        </is>
      </c>
      <c r="I6" s="7" t="n">
        <v>4</v>
      </c>
      <c r="J6" s="15" t="inlineStr">
        <is>
          <t>No</t>
        </is>
      </c>
      <c r="K6" s="6" t="n">
        <v>46353</v>
      </c>
      <c r="L6" s="7">
        <f>IF(K6="","",K6-F6)</f>
        <v/>
      </c>
    </row>
    <row r="7">
      <c r="A7" s="4" t="inlineStr">
        <is>
          <t>C</t>
        </is>
      </c>
      <c r="B7" s="5" t="inlineStr">
        <is>
          <t>Browse cars and request one</t>
        </is>
      </c>
      <c r="C7" s="7">
        <f>COUNTIF('Package cards'!$A$5:$A$42,A7)</f>
        <v/>
      </c>
      <c r="D7" s="7">
        <f>SUMIF('Package cards'!$A$5:$A$42,A7,'Package cards'!$E$5:$E$42)</f>
        <v/>
      </c>
      <c r="E7" s="14" t="n">
        <v>46311</v>
      </c>
      <c r="F7" s="14" t="n">
        <v>46326</v>
      </c>
      <c r="G7" s="7">
        <f>F7-E7+1</f>
        <v/>
      </c>
      <c r="H7" s="5" t="inlineStr">
        <is>
          <t>A (ready 23 Oct)</t>
        </is>
      </c>
      <c r="I7" s="7" t="n">
        <v>4</v>
      </c>
      <c r="J7" s="15" t="inlineStr">
        <is>
          <t>No</t>
        </is>
      </c>
      <c r="K7" s="6" t="n">
        <v>46328</v>
      </c>
      <c r="L7" s="7">
        <f>IF(K7="","",K7-F7)</f>
        <v/>
      </c>
    </row>
    <row r="8">
      <c r="A8" s="4" t="inlineStr">
        <is>
          <t>D</t>
        </is>
      </c>
      <c r="B8" s="5" t="inlineStr">
        <is>
          <t>Rental lifecycle</t>
        </is>
      </c>
      <c r="C8" s="7">
        <f>COUNTIF('Package cards'!$A$5:$A$42,A8)</f>
        <v/>
      </c>
      <c r="D8" s="7">
        <f>SUMIF('Package cards'!$A$5:$A$42,A8,'Package cards'!$E$5:$E$42)</f>
        <v/>
      </c>
      <c r="E8" s="14" t="n">
        <v>46319</v>
      </c>
      <c r="F8" s="14" t="n">
        <v>46330</v>
      </c>
      <c r="G8" s="7">
        <f>F8-E8+1</f>
        <v/>
      </c>
      <c r="H8" s="5" t="inlineStr">
        <is>
          <t>A (ready 23 Oct) and C (ready 17 Oct)</t>
        </is>
      </c>
      <c r="I8" s="7" t="n">
        <v>0</v>
      </c>
      <c r="J8" s="15" t="inlineStr">
        <is>
          <t>Yes</t>
        </is>
      </c>
      <c r="K8" s="6" t="n">
        <v>46351</v>
      </c>
      <c r="L8" s="7">
        <f>IF(K8="","",K8-F8)</f>
        <v/>
      </c>
    </row>
    <row r="9">
      <c r="A9" s="4" t="inlineStr">
        <is>
          <t>E</t>
        </is>
      </c>
      <c r="B9" s="5" t="inlineStr">
        <is>
          <t>Staff fleet</t>
        </is>
      </c>
      <c r="C9" s="7">
        <f>COUNTIF('Package cards'!$A$5:$A$42,A9)</f>
        <v/>
      </c>
      <c r="D9" s="7">
        <f>SUMIF('Package cards'!$A$5:$A$42,A9,'Package cards'!$E$5:$E$42)</f>
        <v/>
      </c>
      <c r="E9" s="14" t="n">
        <v>46318</v>
      </c>
      <c r="F9" s="14" t="n">
        <v>46330</v>
      </c>
      <c r="G9" s="7">
        <f>F9-E9+1</f>
        <v/>
      </c>
      <c r="H9" s="5" t="inlineStr">
        <is>
          <t>A (ready 22 Oct) and B (ready 17 Oct)</t>
        </is>
      </c>
      <c r="I9" s="7" t="n">
        <v>0</v>
      </c>
      <c r="J9" s="15" t="inlineStr">
        <is>
          <t>Yes</t>
        </is>
      </c>
      <c r="K9" s="6" t="n">
        <v>46358</v>
      </c>
      <c r="L9" s="7">
        <f>IF(K9="","",K9-F9)</f>
        <v/>
      </c>
    </row>
    <row r="10">
      <c r="A10" s="4" t="inlineStr">
        <is>
          <t>F</t>
        </is>
      </c>
      <c r="B10" s="5" t="inlineStr">
        <is>
          <t>Staff customers, payments and final test</t>
        </is>
      </c>
      <c r="C10" s="7">
        <f>COUNTIF('Package cards'!$A$5:$A$42,A10)</f>
        <v/>
      </c>
      <c r="D10" s="7">
        <f>SUMIF('Package cards'!$A$5:$A$42,A10,'Package cards'!$E$5:$E$42)</f>
        <v/>
      </c>
      <c r="E10" s="14" t="n">
        <v>46319</v>
      </c>
      <c r="F10" s="14" t="n">
        <v>46334</v>
      </c>
      <c r="G10" s="7">
        <f>F10-E10+1</f>
        <v/>
      </c>
      <c r="H10" s="5" t="inlineStr">
        <is>
          <t>A (ready 23 Oct) and C (ready 17 Oct)</t>
        </is>
      </c>
      <c r="I10" s="7" t="n">
        <v>0</v>
      </c>
      <c r="J10" s="15" t="inlineStr">
        <is>
          <t>Yes</t>
        </is>
      </c>
      <c r="K10" s="6" t="n">
        <v>46381</v>
      </c>
      <c r="L10" s="7">
        <f>IF(K10="","",K10-F10)</f>
        <v/>
      </c>
    </row>
    <row r="11">
      <c r="A11" s="10" t="inlineStr">
        <is>
          <t>Total</t>
        </is>
      </c>
      <c r="B11" s="10" t="inlineStr"/>
      <c r="C11" s="12">
        <f>SUM(C5:C10)</f>
        <v/>
      </c>
      <c r="D11" s="12">
        <f>SUM(D5:D10)</f>
        <v/>
      </c>
      <c r="E11" s="16">
        <f>MIN(E5:E10)</f>
        <v/>
      </c>
      <c r="F11" s="16">
        <f>MAX(F5:F10)</f>
        <v/>
      </c>
      <c r="G11" s="12">
        <f>F11-E11+1</f>
        <v/>
      </c>
      <c r="H11" s="10" t="inlineStr"/>
      <c r="I11" s="10" t="inlineStr"/>
      <c r="J11" s="10" t="inlineStr"/>
      <c r="K11" s="10" t="inlineStr"/>
      <c r="L11" s="10" t="inlineStr"/>
    </row>
    <row r="13">
      <c r="A13" s="17" t="inlineStr">
        <is>
          <t>Critical path</t>
        </is>
      </c>
    </row>
    <row r="14">
      <c r="A14" s="18" t="inlineStr">
        <is>
          <t>Step</t>
        </is>
      </c>
      <c r="B14" s="18" t="inlineStr">
        <is>
          <t>Package</t>
        </is>
      </c>
      <c r="C14" s="18" t="inlineStr">
        <is>
          <t>Cards</t>
        </is>
      </c>
      <c r="D14" s="18" t="inlineStr">
        <is>
          <t>From</t>
        </is>
      </c>
      <c r="E14" s="18" t="inlineStr">
        <is>
          <t>To</t>
        </is>
      </c>
    </row>
    <row r="15">
      <c r="A15" s="7" t="n">
        <v>1</v>
      </c>
      <c r="B15" s="5" t="inlineStr">
        <is>
          <t>Foundation and sign in</t>
        </is>
      </c>
      <c r="C15" s="5" t="inlineStr">
        <is>
          <t>F1 &gt; F2 &gt; F3 &gt; F5 &gt; F6</t>
        </is>
      </c>
      <c r="D15" s="14" t="n">
        <v>46311</v>
      </c>
      <c r="E15" s="14" t="n">
        <v>46318</v>
      </c>
    </row>
    <row r="16">
      <c r="A16" s="7" t="n">
        <v>2</v>
      </c>
      <c r="B16" s="5" t="inlineStr">
        <is>
          <t>Rental lifecycle</t>
        </is>
      </c>
      <c r="C16" s="5" t="inlineStr">
        <is>
          <t>R2 &gt; R3 &gt; R4 &gt; A1 &gt; A2 &gt; A4 &gt; A3 &gt; A5 &gt; Q5</t>
        </is>
      </c>
      <c r="D16" s="14" t="n">
        <v>46319</v>
      </c>
      <c r="E16" s="14" t="n">
        <v>46330</v>
      </c>
    </row>
    <row r="17">
      <c r="A17" s="7" t="n">
        <v>3</v>
      </c>
      <c r="B17" s="5" t="inlineStr">
        <is>
          <t>Staff customers, payments and final test</t>
        </is>
      </c>
      <c r="C17" s="5" t="inlineStr">
        <is>
          <t>Q7</t>
        </is>
      </c>
      <c r="D17" s="14" t="n">
        <v>46331</v>
      </c>
      <c r="E17" s="14" t="n">
        <v>46334</v>
      </c>
    </row>
    <row r="19">
      <c r="A19" s="2" t="inlineStr">
        <is>
          <t>If a package on this chain slips a day, the whole back end finishes a day later.</t>
        </is>
      </c>
    </row>
  </sheetData>
  <conditionalFormatting sqref="A5:L10">
    <cfRule type="expression" priority="1" dxfId="1">
      <formula>$J5="Yes"</formula>
    </cfRule>
  </conditionalFormatting>
  <conditionalFormatting sqref="L5:L10">
    <cfRule type="expression" priority="2" dxfId="2">
      <formula>AND($L5&lt;&gt;"",$L5&lt;0)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52" customWidth="1" min="3" max="3"/>
    <col width="7" customWidth="1" min="4" max="4"/>
    <col width="8" customWidth="1" min="5" max="5"/>
    <col width="13" customWidth="1" min="6" max="6"/>
    <col width="13" customWidth="1" min="7" max="7"/>
    <col width="7" customWidth="1" min="8" max="8"/>
    <col width="32" customWidth="1" min="9" max="9"/>
    <col width="12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Wayfare: back-end cards in build order</t>
        </is>
      </c>
    </row>
    <row r="2">
      <c r="A2" s="2" t="inlineStr">
        <is>
          <t>One row per open back-end card, grouped by package. Days = End - Start + 1. Spare = Trello due date - End (negative means the plan ends after the Trello date).</t>
        </is>
      </c>
    </row>
    <row r="4" ht="20" customHeight="1">
      <c r="A4" s="3" t="inlineStr">
        <is>
          <t>Package</t>
        </is>
      </c>
      <c r="B4" s="3" t="inlineStr">
        <is>
          <t>Card</t>
        </is>
      </c>
      <c r="C4" s="3" t="inlineStr">
        <is>
          <t>Title</t>
        </is>
      </c>
      <c r="D4" s="3" t="inlineStr">
        <is>
          <t>Size</t>
        </is>
      </c>
      <c r="E4" s="3" t="inlineStr">
        <is>
          <t>Hours</t>
        </is>
      </c>
      <c r="F4" s="3" t="inlineStr">
        <is>
          <t>Start</t>
        </is>
      </c>
      <c r="G4" s="3" t="inlineStr">
        <is>
          <t>End</t>
        </is>
      </c>
      <c r="H4" s="3" t="inlineStr">
        <is>
          <t>Days</t>
        </is>
      </c>
      <c r="I4" s="3" t="inlineStr">
        <is>
          <t>Needs first</t>
        </is>
      </c>
      <c r="J4" s="3" t="inlineStr">
        <is>
          <t>Room (days)</t>
        </is>
      </c>
      <c r="K4" s="3" t="inlineStr">
        <is>
          <t>Critical</t>
        </is>
      </c>
      <c r="L4" s="3" t="inlineStr">
        <is>
          <t>Trello due</t>
        </is>
      </c>
      <c r="M4" s="3" t="inlineStr">
        <is>
          <t>Spare (days)</t>
        </is>
      </c>
    </row>
    <row r="5">
      <c r="A5" s="4" t="inlineStr">
        <is>
          <t>A</t>
        </is>
      </c>
      <c r="B5" s="4" t="inlineStr">
        <is>
          <t>F1</t>
        </is>
      </c>
      <c r="C5" s="5" t="inlineStr">
        <is>
          <t>Fix enum typos and add the missing fields</t>
        </is>
      </c>
      <c r="D5" s="15" t="inlineStr">
        <is>
          <t>S</t>
        </is>
      </c>
      <c r="E5" s="7" t="n">
        <v>2</v>
      </c>
      <c r="F5" s="6" t="n">
        <v>46311</v>
      </c>
      <c r="G5" s="6" t="n">
        <v>46311</v>
      </c>
      <c r="H5" s="7">
        <f>G5-F5+1</f>
        <v/>
      </c>
      <c r="I5" s="5" t="inlineStr">
        <is>
          <t>Nothing</t>
        </is>
      </c>
      <c r="J5" s="7" t="n">
        <v>0</v>
      </c>
      <c r="K5" s="15" t="inlineStr">
        <is>
          <t>Yes</t>
        </is>
      </c>
      <c r="L5" s="6" t="n">
        <v>46311</v>
      </c>
      <c r="M5" s="7">
        <f>IF(L5="","",L5-G5)</f>
        <v/>
      </c>
    </row>
    <row r="6">
      <c r="A6" s="4" t="inlineStr">
        <is>
          <t>A</t>
        </is>
      </c>
      <c r="B6" s="4" t="inlineStr">
        <is>
          <t>F2</t>
        </is>
      </c>
      <c r="C6" s="5" t="inlineStr">
        <is>
          <t>Program.cs setup</t>
        </is>
      </c>
      <c r="D6" s="15" t="inlineStr">
        <is>
          <t>M</t>
        </is>
      </c>
      <c r="E6" s="7" t="n">
        <v>4</v>
      </c>
      <c r="F6" s="6" t="n">
        <v>46312</v>
      </c>
      <c r="G6" s="6" t="n">
        <v>46313</v>
      </c>
      <c r="H6" s="7">
        <f>G6-F6+1</f>
        <v/>
      </c>
      <c r="I6" s="5" t="inlineStr">
        <is>
          <t>Nothing</t>
        </is>
      </c>
      <c r="J6" s="7" t="n">
        <v>0</v>
      </c>
      <c r="K6" s="15" t="inlineStr">
        <is>
          <t>Yes</t>
        </is>
      </c>
      <c r="L6" s="6" t="n">
        <v>46311</v>
      </c>
      <c r="M6" s="7">
        <f>IF(L6="","",L6-G6)</f>
        <v/>
      </c>
    </row>
    <row r="7">
      <c r="A7" s="4" t="inlineStr">
        <is>
          <t>A</t>
        </is>
      </c>
      <c r="B7" s="4" t="inlineStr">
        <is>
          <t>F3</t>
        </is>
      </c>
      <c r="C7" s="5" t="inlineStr">
        <is>
          <t>Seed roles, admin account and sample cars</t>
        </is>
      </c>
      <c r="D7" s="15" t="inlineStr">
        <is>
          <t>M</t>
        </is>
      </c>
      <c r="E7" s="7" t="n">
        <v>4</v>
      </c>
      <c r="F7" s="6" t="n">
        <v>46314</v>
      </c>
      <c r="G7" s="6" t="n">
        <v>46315</v>
      </c>
      <c r="H7" s="7">
        <f>G7-F7+1</f>
        <v/>
      </c>
      <c r="I7" s="5" t="inlineStr">
        <is>
          <t>F1 (A)</t>
        </is>
      </c>
      <c r="J7" s="7" t="n">
        <v>0</v>
      </c>
      <c r="K7" s="15" t="inlineStr">
        <is>
          <t>Yes</t>
        </is>
      </c>
      <c r="L7" s="6" t="n">
        <v>46312</v>
      </c>
      <c r="M7" s="7">
        <f>IF(L7="","",L7-G7)</f>
        <v/>
      </c>
    </row>
    <row r="8">
      <c r="A8" s="4" t="inlineStr">
        <is>
          <t>A</t>
        </is>
      </c>
      <c r="B8" s="4" t="inlineStr">
        <is>
          <t>F5</t>
        </is>
      </c>
      <c r="C8" s="5" t="inlineStr">
        <is>
          <t>Authentication and authorization with Identity and JWT</t>
        </is>
      </c>
      <c r="D8" s="15" t="inlineStr">
        <is>
          <t>M</t>
        </is>
      </c>
      <c r="E8" s="7" t="n">
        <v>4</v>
      </c>
      <c r="F8" s="6" t="n">
        <v>46316</v>
      </c>
      <c r="G8" s="6" t="n">
        <v>46317</v>
      </c>
      <c r="H8" s="7">
        <f>G8-F8+1</f>
        <v/>
      </c>
      <c r="I8" s="5" t="inlineStr">
        <is>
          <t>F2 (A)</t>
        </is>
      </c>
      <c r="J8" s="7" t="n">
        <v>0</v>
      </c>
      <c r="K8" s="15" t="inlineStr">
        <is>
          <t>Yes</t>
        </is>
      </c>
      <c r="L8" s="6" t="n">
        <v>46314</v>
      </c>
      <c r="M8" s="7">
        <f>IF(L8="","",L8-G8)</f>
        <v/>
      </c>
    </row>
    <row r="9">
      <c r="A9" s="4" t="inlineStr">
        <is>
          <t>A</t>
        </is>
      </c>
      <c r="B9" s="4" t="inlineStr">
        <is>
          <t>F6</t>
        </is>
      </c>
      <c r="C9" s="5" t="inlineStr">
        <is>
          <t>Login controller, DTO and mapper</t>
        </is>
      </c>
      <c r="D9" s="15" t="inlineStr">
        <is>
          <t>S</t>
        </is>
      </c>
      <c r="E9" s="7" t="n">
        <v>2</v>
      </c>
      <c r="F9" s="6" t="n">
        <v>46318</v>
      </c>
      <c r="G9" s="6" t="n">
        <v>46318</v>
      </c>
      <c r="H9" s="7">
        <f>G9-F9+1</f>
        <v/>
      </c>
      <c r="I9" s="5" t="inlineStr">
        <is>
          <t>F5 (A), F3 (A)</t>
        </is>
      </c>
      <c r="J9" s="7" t="n">
        <v>0</v>
      </c>
      <c r="K9" s="15" t="inlineStr">
        <is>
          <t>Yes</t>
        </is>
      </c>
      <c r="L9" s="6" t="n">
        <v>46310</v>
      </c>
      <c r="M9" s="7">
        <f>IF(L9="","",L9-G9)</f>
        <v/>
      </c>
    </row>
    <row r="10">
      <c r="A10" s="4" t="inlineStr">
        <is>
          <t>A</t>
        </is>
      </c>
      <c r="B10" s="4" t="inlineStr">
        <is>
          <t>Q1</t>
        </is>
      </c>
      <c r="C10" s="5" t="inlineStr">
        <is>
          <t>Create the .http file and the login requests</t>
        </is>
      </c>
      <c r="D10" s="15" t="inlineStr">
        <is>
          <t>S</t>
        </is>
      </c>
      <c r="E10" s="7" t="n">
        <v>2</v>
      </c>
      <c r="F10" s="6" t="n">
        <v>46319</v>
      </c>
      <c r="G10" s="6" t="n">
        <v>46319</v>
      </c>
      <c r="H10" s="7">
        <f>G10-F10+1</f>
        <v/>
      </c>
      <c r="I10" s="5" t="inlineStr">
        <is>
          <t>F6 (A)</t>
        </is>
      </c>
      <c r="J10" s="7" t="n">
        <v>9</v>
      </c>
      <c r="K10" s="15" t="inlineStr">
        <is>
          <t>No</t>
        </is>
      </c>
      <c r="L10" s="6" t="n">
        <v>46317</v>
      </c>
      <c r="M10" s="7">
        <f>IF(L10="","",L10-G10)</f>
        <v/>
      </c>
    </row>
    <row r="11">
      <c r="A11" s="4" t="inlineStr">
        <is>
          <t>A</t>
        </is>
      </c>
      <c r="B11" s="4" t="inlineStr">
        <is>
          <t>Q2</t>
        </is>
      </c>
      <c r="C11" s="5" t="inlineStr">
        <is>
          <t>Sprint 3 test with the front end: sign in and cars</t>
        </is>
      </c>
      <c r="D11" s="15" t="inlineStr">
        <is>
          <t>M</t>
        </is>
      </c>
      <c r="E11" s="7" t="n">
        <v>4</v>
      </c>
      <c r="F11" s="6" t="n">
        <v>46320</v>
      </c>
      <c r="G11" s="6" t="n">
        <v>46321</v>
      </c>
      <c r="H11" s="7">
        <f>G11-F11+1</f>
        <v/>
      </c>
      <c r="I11" s="5" t="inlineStr">
        <is>
          <t>F6 (A), F7 (B), C1 (C)</t>
        </is>
      </c>
      <c r="J11" s="7" t="n">
        <v>9</v>
      </c>
      <c r="K11" s="15" t="inlineStr">
        <is>
          <t>No</t>
        </is>
      </c>
      <c r="L11" s="6" t="n">
        <v>46317</v>
      </c>
      <c r="M11" s="7">
        <f>IF(L11="","",L11-G11)</f>
        <v/>
      </c>
    </row>
    <row r="12">
      <c r="A12" s="4" t="inlineStr">
        <is>
          <t>B</t>
        </is>
      </c>
      <c r="B12" s="4" t="inlineStr">
        <is>
          <t>F4</t>
        </is>
      </c>
      <c r="C12" s="5" t="inlineStr">
        <is>
          <t>Image storage service</t>
        </is>
      </c>
      <c r="D12" s="15" t="inlineStr">
        <is>
          <t>M</t>
        </is>
      </c>
      <c r="E12" s="7" t="n">
        <v>4</v>
      </c>
      <c r="F12" s="6" t="n">
        <v>46311</v>
      </c>
      <c r="G12" s="6" t="n">
        <v>46312</v>
      </c>
      <c r="H12" s="7">
        <f>G12-F12+1</f>
        <v/>
      </c>
      <c r="I12" s="5" t="inlineStr">
        <is>
          <t>Nothing</t>
        </is>
      </c>
      <c r="J12" s="7" t="n">
        <v>9</v>
      </c>
      <c r="K12" s="15" t="inlineStr">
        <is>
          <t>No</t>
        </is>
      </c>
      <c r="L12" s="6" t="n">
        <v>46312</v>
      </c>
      <c r="M12" s="7">
        <f>IF(L12="","",L12-G12)</f>
        <v/>
      </c>
    </row>
    <row r="13">
      <c r="A13" s="4" t="inlineStr">
        <is>
          <t>B</t>
        </is>
      </c>
      <c r="B13" s="4" t="inlineStr">
        <is>
          <t>F7</t>
        </is>
      </c>
      <c r="C13" s="5" t="inlineStr">
        <is>
          <t>Register controller, DTO and mapper</t>
        </is>
      </c>
      <c r="D13" s="15" t="inlineStr">
        <is>
          <t>M</t>
        </is>
      </c>
      <c r="E13" s="7" t="n">
        <v>4</v>
      </c>
      <c r="F13" s="6" t="n">
        <v>46318</v>
      </c>
      <c r="G13" s="6" t="n">
        <v>46319</v>
      </c>
      <c r="H13" s="7">
        <f>G13-F13+1</f>
        <v/>
      </c>
      <c r="I13" s="5" t="inlineStr">
        <is>
          <t>F4 (B), F5 (A), F1 (A)</t>
        </is>
      </c>
      <c r="J13" s="7" t="n">
        <v>4</v>
      </c>
      <c r="K13" s="15" t="inlineStr">
        <is>
          <t>No</t>
        </is>
      </c>
      <c r="L13" s="6" t="n">
        <v>46310</v>
      </c>
      <c r="M13" s="7">
        <f>IF(L13="","",L13-G13)</f>
        <v/>
      </c>
    </row>
    <row r="14">
      <c r="A14" s="4" t="inlineStr">
        <is>
          <t>B</t>
        </is>
      </c>
      <c r="B14" s="4" t="inlineStr">
        <is>
          <t>F8</t>
        </is>
      </c>
      <c r="C14" s="5" t="inlineStr">
        <is>
          <t>ChangePassword endpoint</t>
        </is>
      </c>
      <c r="D14" s="15" t="inlineStr">
        <is>
          <t>S</t>
        </is>
      </c>
      <c r="E14" s="7" t="n">
        <v>2</v>
      </c>
      <c r="F14" s="6" t="n">
        <v>46320</v>
      </c>
      <c r="G14" s="6" t="n">
        <v>46320</v>
      </c>
      <c r="H14" s="7">
        <f>G14-F14+1</f>
        <v/>
      </c>
      <c r="I14" s="5" t="inlineStr">
        <is>
          <t>F5 (A)</t>
        </is>
      </c>
      <c r="J14" s="7" t="n">
        <v>4</v>
      </c>
      <c r="K14" s="15" t="inlineStr">
        <is>
          <t>No</t>
        </is>
      </c>
      <c r="L14" s="6" t="n">
        <v>46315</v>
      </c>
      <c r="M14" s="7">
        <f>IF(L14="","",L14-G14)</f>
        <v/>
      </c>
    </row>
    <row r="15">
      <c r="A15" s="4" t="inlineStr">
        <is>
          <t>B</t>
        </is>
      </c>
      <c r="B15" s="4" t="inlineStr">
        <is>
          <t>P1</t>
        </is>
      </c>
      <c r="C15" s="5" t="inlineStr">
        <is>
          <t>GetUserProfile controller and UserProfileDto</t>
        </is>
      </c>
      <c r="D15" s="15" t="inlineStr">
        <is>
          <t>S</t>
        </is>
      </c>
      <c r="E15" s="7" t="n">
        <v>2</v>
      </c>
      <c r="F15" s="6" t="n">
        <v>46321</v>
      </c>
      <c r="G15" s="6" t="n">
        <v>46321</v>
      </c>
      <c r="H15" s="7">
        <f>G15-F15+1</f>
        <v/>
      </c>
      <c r="I15" s="5" t="inlineStr">
        <is>
          <t>F6 (A), F3 (A)</t>
        </is>
      </c>
      <c r="J15" s="7" t="n">
        <v>4</v>
      </c>
      <c r="K15" s="15" t="inlineStr">
        <is>
          <t>No</t>
        </is>
      </c>
      <c r="L15" s="6" t="n">
        <v>46326</v>
      </c>
      <c r="M15" s="7">
        <f>IF(L15="","",L15-G15)</f>
        <v/>
      </c>
    </row>
    <row r="16">
      <c r="A16" s="4" t="inlineStr">
        <is>
          <t>B</t>
        </is>
      </c>
      <c r="B16" s="4" t="inlineStr">
        <is>
          <t>P2</t>
        </is>
      </c>
      <c r="C16" s="5" t="inlineStr">
        <is>
          <t>UpdateProfile and UpdateLicense endpoints</t>
        </is>
      </c>
      <c r="D16" s="15" t="inlineStr">
        <is>
          <t>M</t>
        </is>
      </c>
      <c r="E16" s="7" t="n">
        <v>4</v>
      </c>
      <c r="F16" s="6" t="n">
        <v>46322</v>
      </c>
      <c r="G16" s="6" t="n">
        <v>46323</v>
      </c>
      <c r="H16" s="7">
        <f>G16-F16+1</f>
        <v/>
      </c>
      <c r="I16" s="5" t="inlineStr">
        <is>
          <t>F6 (A), F4 (B), F1 (A)</t>
        </is>
      </c>
      <c r="J16" s="7" t="n">
        <v>4</v>
      </c>
      <c r="K16" s="15" t="inlineStr">
        <is>
          <t>No</t>
        </is>
      </c>
      <c r="L16" s="6" t="n">
        <v>46328</v>
      </c>
      <c r="M16" s="7">
        <f>IF(L16="","",L16-G16)</f>
        <v/>
      </c>
    </row>
    <row r="17">
      <c r="A17" s="4" t="inlineStr">
        <is>
          <t>B</t>
        </is>
      </c>
      <c r="B17" s="4" t="inlineStr">
        <is>
          <t>P5</t>
        </is>
      </c>
      <c r="C17" s="5" t="inlineStr">
        <is>
          <t>Admin profile endpoints</t>
        </is>
      </c>
      <c r="D17" s="15" t="inlineStr">
        <is>
          <t>S</t>
        </is>
      </c>
      <c r="E17" s="7" t="n">
        <v>2</v>
      </c>
      <c r="F17" s="6" t="n">
        <v>46324</v>
      </c>
      <c r="G17" s="6" t="n">
        <v>46324</v>
      </c>
      <c r="H17" s="7">
        <f>G17-F17+1</f>
        <v/>
      </c>
      <c r="I17" s="5" t="inlineStr">
        <is>
          <t>F6 (A), F3 (A)</t>
        </is>
      </c>
      <c r="J17" s="7" t="n">
        <v>4</v>
      </c>
      <c r="K17" s="15" t="inlineStr">
        <is>
          <t>No</t>
        </is>
      </c>
      <c r="L17" s="6" t="n">
        <v>46353</v>
      </c>
      <c r="M17" s="7">
        <f>IF(L17="","",L17-G17)</f>
        <v/>
      </c>
    </row>
    <row r="18">
      <c r="A18" s="4" t="inlineStr">
        <is>
          <t>C</t>
        </is>
      </c>
      <c r="B18" s="4" t="inlineStr">
        <is>
          <t>M1</t>
        </is>
      </c>
      <c r="C18" s="5" t="inlineStr">
        <is>
          <t>RentalRules service: price, overlap and refund</t>
        </is>
      </c>
      <c r="D18" s="15" t="inlineStr">
        <is>
          <t>M</t>
        </is>
      </c>
      <c r="E18" s="7" t="n">
        <v>4</v>
      </c>
      <c r="F18" s="6" t="n">
        <v>46311</v>
      </c>
      <c r="G18" s="6" t="n">
        <v>46312</v>
      </c>
      <c r="H18" s="7">
        <f>G18-F18+1</f>
        <v/>
      </c>
      <c r="I18" s="5" t="inlineStr">
        <is>
          <t>Nothing</t>
        </is>
      </c>
      <c r="J18" s="7" t="n">
        <v>8</v>
      </c>
      <c r="K18" s="15" t="inlineStr">
        <is>
          <t>No</t>
        </is>
      </c>
      <c r="L18" s="6" t="n">
        <v>46312</v>
      </c>
      <c r="M18" s="7">
        <f>IF(L18="","",L18-G18)</f>
        <v/>
      </c>
    </row>
    <row r="19">
      <c r="A19" s="4" t="inlineStr">
        <is>
          <t>C</t>
        </is>
      </c>
      <c r="B19" s="4" t="inlineStr">
        <is>
          <t>F9</t>
        </is>
      </c>
      <c r="C19" s="5" t="inlineStr">
        <is>
          <t>Branches endpoint</t>
        </is>
      </c>
      <c r="D19" s="15" t="inlineStr">
        <is>
          <t>S</t>
        </is>
      </c>
      <c r="E19" s="7" t="n">
        <v>2</v>
      </c>
      <c r="F19" s="6" t="n">
        <v>46314</v>
      </c>
      <c r="G19" s="6" t="n">
        <v>46314</v>
      </c>
      <c r="H19" s="7">
        <f>G19-F19+1</f>
        <v/>
      </c>
      <c r="I19" s="5" t="inlineStr">
        <is>
          <t>F2 (A)</t>
        </is>
      </c>
      <c r="J19" s="7" t="n">
        <v>7</v>
      </c>
      <c r="K19" s="15" t="inlineStr">
        <is>
          <t>No</t>
        </is>
      </c>
      <c r="L19" s="6" t="n">
        <v>46312</v>
      </c>
      <c r="M19" s="7">
        <f>IF(L19="","",L19-G19)</f>
        <v/>
      </c>
    </row>
    <row r="20">
      <c r="A20" s="4" t="inlineStr">
        <is>
          <t>C</t>
        </is>
      </c>
      <c r="B20" s="4" t="inlineStr">
        <is>
          <t>C1</t>
        </is>
      </c>
      <c r="C20" s="5" t="inlineStr">
        <is>
          <t>ListCar controller, DTO and mapper</t>
        </is>
      </c>
      <c r="D20" s="15" t="inlineStr">
        <is>
          <t>M</t>
        </is>
      </c>
      <c r="E20" s="7" t="n">
        <v>4</v>
      </c>
      <c r="F20" s="6" t="n">
        <v>46318</v>
      </c>
      <c r="G20" s="6" t="n">
        <v>46319</v>
      </c>
      <c r="H20" s="7">
        <f>G20-F20+1</f>
        <v/>
      </c>
      <c r="I20" s="5" t="inlineStr">
        <is>
          <t>F3 (A), M1 (C), F5 (A)</t>
        </is>
      </c>
      <c r="J20" s="7" t="n">
        <v>4</v>
      </c>
      <c r="K20" s="15" t="inlineStr">
        <is>
          <t>No</t>
        </is>
      </c>
      <c r="L20" s="6" t="n">
        <v>46312</v>
      </c>
      <c r="M20" s="7">
        <f>IF(L20="","",L20-G20)</f>
        <v/>
      </c>
    </row>
    <row r="21">
      <c r="A21" s="4" t="inlineStr">
        <is>
          <t>C</t>
        </is>
      </c>
      <c r="B21" s="4" t="inlineStr">
        <is>
          <t>C2</t>
        </is>
      </c>
      <c r="C21" s="5" t="inlineStr">
        <is>
          <t>Car details endpoint</t>
        </is>
      </c>
      <c r="D21" s="15" t="inlineStr">
        <is>
          <t>S</t>
        </is>
      </c>
      <c r="E21" s="7" t="n">
        <v>2</v>
      </c>
      <c r="F21" s="6" t="n">
        <v>46320</v>
      </c>
      <c r="G21" s="6" t="n">
        <v>46320</v>
      </c>
      <c r="H21" s="7">
        <f>G21-F21+1</f>
        <v/>
      </c>
      <c r="I21" s="5" t="inlineStr">
        <is>
          <t>C1 (C)</t>
        </is>
      </c>
      <c r="J21" s="7" t="n">
        <v>4</v>
      </c>
      <c r="K21" s="15" t="inlineStr">
        <is>
          <t>No</t>
        </is>
      </c>
      <c r="L21" s="6" t="n">
        <v>46320</v>
      </c>
      <c r="M21" s="7">
        <f>IF(L21="","",L21-G21)</f>
        <v/>
      </c>
    </row>
    <row r="22">
      <c r="A22" s="4" t="inlineStr">
        <is>
          <t>C</t>
        </is>
      </c>
      <c r="B22" s="4" t="inlineStr">
        <is>
          <t>R1</t>
        </is>
      </c>
      <c r="C22" s="5" t="inlineStr">
        <is>
          <t>RentalRequest controller, DTO and mapper</t>
        </is>
      </c>
      <c r="D22" s="15" t="inlineStr">
        <is>
          <t>L</t>
        </is>
      </c>
      <c r="E22" s="7" t="n">
        <v>8</v>
      </c>
      <c r="F22" s="6" t="n">
        <v>46321</v>
      </c>
      <c r="G22" s="6" t="n">
        <v>46324</v>
      </c>
      <c r="H22" s="7">
        <f>G22-F22+1</f>
        <v/>
      </c>
      <c r="I22" s="5" t="inlineStr">
        <is>
          <t>M1 (C), F6 (A), F3 (A)</t>
        </is>
      </c>
      <c r="J22" s="7" t="n">
        <v>4</v>
      </c>
      <c r="K22" s="15" t="inlineStr">
        <is>
          <t>No</t>
        </is>
      </c>
      <c r="L22" s="6" t="n">
        <v>46322</v>
      </c>
      <c r="M22" s="7">
        <f>IF(L22="","",L22-G22)</f>
        <v/>
      </c>
    </row>
    <row r="23">
      <c r="A23" s="4" t="inlineStr">
        <is>
          <t>C</t>
        </is>
      </c>
      <c r="B23" s="4" t="inlineStr">
        <is>
          <t>Q3</t>
        </is>
      </c>
      <c r="C23" s="5" t="inlineStr">
        <is>
          <t>Sprint 4 test with the front end: requests, cancel and profile</t>
        </is>
      </c>
      <c r="D23" s="15" t="inlineStr">
        <is>
          <t>M</t>
        </is>
      </c>
      <c r="E23" s="7" t="n">
        <v>4</v>
      </c>
      <c r="F23" s="6" t="n">
        <v>46325</v>
      </c>
      <c r="G23" s="6" t="n">
        <v>46326</v>
      </c>
      <c r="H23" s="7">
        <f>G23-F23+1</f>
        <v/>
      </c>
      <c r="I23" s="5" t="inlineStr">
        <is>
          <t>R1 (C), R2 (D), R3 (D), R4 (D), P1 (B), P2 (B)</t>
        </is>
      </c>
      <c r="J23" s="7" t="n">
        <v>4</v>
      </c>
      <c r="K23" s="15" t="inlineStr">
        <is>
          <t>No</t>
        </is>
      </c>
      <c r="L23" s="6" t="n">
        <v>46328</v>
      </c>
      <c r="M23" s="7">
        <f>IF(L23="","",L23-G23)</f>
        <v/>
      </c>
    </row>
    <row r="24">
      <c r="A24" s="4" t="inlineStr">
        <is>
          <t>D</t>
        </is>
      </c>
      <c r="B24" s="4" t="inlineStr">
        <is>
          <t>R2</t>
        </is>
      </c>
      <c r="C24" s="5" t="inlineStr">
        <is>
          <t>ListMyRentals controller, DTO and mapper</t>
        </is>
      </c>
      <c r="D24" s="15" t="inlineStr">
        <is>
          <t>M</t>
        </is>
      </c>
      <c r="E24" s="7" t="n">
        <v>4</v>
      </c>
      <c r="F24" s="6" t="n">
        <v>46319</v>
      </c>
      <c r="G24" s="6" t="n">
        <v>46320</v>
      </c>
      <c r="H24" s="7">
        <f>G24-F24+1</f>
        <v/>
      </c>
      <c r="I24" s="5" t="inlineStr">
        <is>
          <t>F6 (A), F3 (A)</t>
        </is>
      </c>
      <c r="J24" s="7" t="n">
        <v>0</v>
      </c>
      <c r="K24" s="15" t="inlineStr">
        <is>
          <t>Yes</t>
        </is>
      </c>
      <c r="L24" s="6" t="n">
        <v>46320</v>
      </c>
      <c r="M24" s="7">
        <f>IF(L24="","",L24-G24)</f>
        <v/>
      </c>
    </row>
    <row r="25">
      <c r="A25" s="4" t="inlineStr">
        <is>
          <t>D</t>
        </is>
      </c>
      <c r="B25" s="4" t="inlineStr">
        <is>
          <t>R3</t>
        </is>
      </c>
      <c r="C25" s="5" t="inlineStr">
        <is>
          <t>CancelRental controller</t>
        </is>
      </c>
      <c r="D25" s="15" t="inlineStr">
        <is>
          <t>S</t>
        </is>
      </c>
      <c r="E25" s="7" t="n">
        <v>2</v>
      </c>
      <c r="F25" s="6" t="n">
        <v>46321</v>
      </c>
      <c r="G25" s="6" t="n">
        <v>46321</v>
      </c>
      <c r="H25" s="7">
        <f>G25-F25+1</f>
        <v/>
      </c>
      <c r="I25" s="5" t="inlineStr">
        <is>
          <t>F6 (A), F3 (A), M1 (C)</t>
        </is>
      </c>
      <c r="J25" s="7" t="n">
        <v>0</v>
      </c>
      <c r="K25" s="15" t="inlineStr">
        <is>
          <t>Yes</t>
        </is>
      </c>
      <c r="L25" s="6" t="n">
        <v>46324</v>
      </c>
      <c r="M25" s="7">
        <f>IF(L25="","",L25-G25)</f>
        <v/>
      </c>
    </row>
    <row r="26">
      <c r="A26" s="4" t="inlineStr">
        <is>
          <t>D</t>
        </is>
      </c>
      <c r="B26" s="4" t="inlineStr">
        <is>
          <t>R4</t>
        </is>
      </c>
      <c r="C26" s="5" t="inlineStr">
        <is>
          <t>RefuseRental controller (10% fee)</t>
        </is>
      </c>
      <c r="D26" s="15" t="inlineStr">
        <is>
          <t>S</t>
        </is>
      </c>
      <c r="E26" s="7" t="n">
        <v>2</v>
      </c>
      <c r="F26" s="6" t="n">
        <v>46322</v>
      </c>
      <c r="G26" s="6" t="n">
        <v>46322</v>
      </c>
      <c r="H26" s="7">
        <f>G26-F26+1</f>
        <v/>
      </c>
      <c r="I26" s="5" t="inlineStr">
        <is>
          <t>F6 (A), F3 (A), M1 (C)</t>
        </is>
      </c>
      <c r="J26" s="7" t="n">
        <v>0</v>
      </c>
      <c r="K26" s="15" t="inlineStr">
        <is>
          <t>Yes</t>
        </is>
      </c>
      <c r="L26" s="6" t="n">
        <v>46326</v>
      </c>
      <c r="M26" s="7">
        <f>IF(L26="","",L26-G26)</f>
        <v/>
      </c>
    </row>
    <row r="27">
      <c r="A27" s="4" t="inlineStr">
        <is>
          <t>D</t>
        </is>
      </c>
      <c r="B27" s="4" t="inlineStr">
        <is>
          <t>A1</t>
        </is>
      </c>
      <c r="C27" s="5" t="inlineStr">
        <is>
          <t>AdminListAllRentals controller and DTO</t>
        </is>
      </c>
      <c r="D27" s="15" t="inlineStr">
        <is>
          <t>M</t>
        </is>
      </c>
      <c r="E27" s="7" t="n">
        <v>4</v>
      </c>
      <c r="F27" s="6" t="n">
        <v>46323</v>
      </c>
      <c r="G27" s="6" t="n">
        <v>46324</v>
      </c>
      <c r="H27" s="7">
        <f>G27-F27+1</f>
        <v/>
      </c>
      <c r="I27" s="5" t="inlineStr">
        <is>
          <t>F6 (A), F3 (A)</t>
        </is>
      </c>
      <c r="J27" s="7" t="n">
        <v>0</v>
      </c>
      <c r="K27" s="15" t="inlineStr">
        <is>
          <t>Yes</t>
        </is>
      </c>
      <c r="L27" s="6" t="n">
        <v>46335</v>
      </c>
      <c r="M27" s="7">
        <f>IF(L27="","",L27-G27)</f>
        <v/>
      </c>
    </row>
    <row r="28">
      <c r="A28" s="4" t="inlineStr">
        <is>
          <t>D</t>
        </is>
      </c>
      <c r="B28" s="4" t="inlineStr">
        <is>
          <t>A2</t>
        </is>
      </c>
      <c r="C28" s="5" t="inlineStr">
        <is>
          <t>ApproveRental controller</t>
        </is>
      </c>
      <c r="D28" s="15" t="inlineStr">
        <is>
          <t>S</t>
        </is>
      </c>
      <c r="E28" s="7" t="n">
        <v>2</v>
      </c>
      <c r="F28" s="6" t="n">
        <v>46325</v>
      </c>
      <c r="G28" s="6" t="n">
        <v>46325</v>
      </c>
      <c r="H28" s="7">
        <f>G28-F28+1</f>
        <v/>
      </c>
      <c r="I28" s="5" t="inlineStr">
        <is>
          <t>F6 (A), F3 (A), M1 (C)</t>
        </is>
      </c>
      <c r="J28" s="7" t="n">
        <v>0</v>
      </c>
      <c r="K28" s="15" t="inlineStr">
        <is>
          <t>Yes</t>
        </is>
      </c>
      <c r="L28" s="6" t="n">
        <v>46341</v>
      </c>
      <c r="M28" s="7">
        <f>IF(L28="","",L28-G28)</f>
        <v/>
      </c>
    </row>
    <row r="29">
      <c r="A29" s="4" t="inlineStr">
        <is>
          <t>D</t>
        </is>
      </c>
      <c r="B29" s="4" t="inlineStr">
        <is>
          <t>A4</t>
        </is>
      </c>
      <c r="C29" s="5" t="inlineStr">
        <is>
          <t>HandOverKeys controller</t>
        </is>
      </c>
      <c r="D29" s="15" t="inlineStr">
        <is>
          <t>S</t>
        </is>
      </c>
      <c r="E29" s="7" t="n">
        <v>2</v>
      </c>
      <c r="F29" s="6" t="n">
        <v>46326</v>
      </c>
      <c r="G29" s="6" t="n">
        <v>46326</v>
      </c>
      <c r="H29" s="7">
        <f>G29-F29+1</f>
        <v/>
      </c>
      <c r="I29" s="5" t="inlineStr">
        <is>
          <t>F6 (A), F3 (A)</t>
        </is>
      </c>
      <c r="J29" s="7" t="n">
        <v>0</v>
      </c>
      <c r="K29" s="15" t="inlineStr">
        <is>
          <t>Yes</t>
        </is>
      </c>
      <c r="L29" s="6" t="n">
        <v>46343</v>
      </c>
      <c r="M29" s="7">
        <f>IF(L29="","",L29-G29)</f>
        <v/>
      </c>
    </row>
    <row r="30">
      <c r="A30" s="4" t="inlineStr">
        <is>
          <t>D</t>
        </is>
      </c>
      <c r="B30" s="4" t="inlineStr">
        <is>
          <t>A3</t>
        </is>
      </c>
      <c r="C30" s="5" t="inlineStr">
        <is>
          <t>Rental rejection controller</t>
        </is>
      </c>
      <c r="D30" s="15" t="inlineStr">
        <is>
          <t>S</t>
        </is>
      </c>
      <c r="E30" s="7" t="n">
        <v>2</v>
      </c>
      <c r="F30" s="6" t="n">
        <v>46327</v>
      </c>
      <c r="G30" s="6" t="n">
        <v>46327</v>
      </c>
      <c r="H30" s="7">
        <f>G30-F30+1</f>
        <v/>
      </c>
      <c r="I30" s="5" t="inlineStr">
        <is>
          <t>F6 (A), F3 (A), M1 (C)</t>
        </is>
      </c>
      <c r="J30" s="7" t="n">
        <v>0</v>
      </c>
      <c r="K30" s="15" t="inlineStr">
        <is>
          <t>Yes</t>
        </is>
      </c>
      <c r="L30" s="6" t="n">
        <v>46345</v>
      </c>
      <c r="M30" s="7">
        <f>IF(L30="","",L30-G30)</f>
        <v/>
      </c>
    </row>
    <row r="31">
      <c r="A31" s="4" t="inlineStr">
        <is>
          <t>D</t>
        </is>
      </c>
      <c r="B31" s="4" t="inlineStr">
        <is>
          <t>A5</t>
        </is>
      </c>
      <c r="C31" s="5" t="inlineStr">
        <is>
          <t>RecordReturn controller</t>
        </is>
      </c>
      <c r="D31" s="15" t="inlineStr">
        <is>
          <t>S</t>
        </is>
      </c>
      <c r="E31" s="7" t="n">
        <v>2</v>
      </c>
      <c r="F31" s="6" t="n">
        <v>46328</v>
      </c>
      <c r="G31" s="6" t="n">
        <v>46328</v>
      </c>
      <c r="H31" s="7">
        <f>G31-F31+1</f>
        <v/>
      </c>
      <c r="I31" s="5" t="inlineStr">
        <is>
          <t>F6 (A), F3 (A), F1 (A)</t>
        </is>
      </c>
      <c r="J31" s="7" t="n">
        <v>0</v>
      </c>
      <c r="K31" s="15" t="inlineStr">
        <is>
          <t>Yes</t>
        </is>
      </c>
      <c r="L31" s="6" t="n">
        <v>46351</v>
      </c>
      <c r="M31" s="7">
        <f>IF(L31="","",L31-G31)</f>
        <v/>
      </c>
    </row>
    <row r="32">
      <c r="A32" s="4" t="inlineStr">
        <is>
          <t>D</t>
        </is>
      </c>
      <c r="B32" s="4" t="inlineStr">
        <is>
          <t>Q5</t>
        </is>
      </c>
      <c r="C32" s="5" t="inlineStr">
        <is>
          <t>Sprint 6 test with the front end: the staff workflow</t>
        </is>
      </c>
      <c r="D32" s="15" t="inlineStr">
        <is>
          <t>M</t>
        </is>
      </c>
      <c r="E32" s="7" t="n">
        <v>4</v>
      </c>
      <c r="F32" s="6" t="n">
        <v>46329</v>
      </c>
      <c r="G32" s="6" t="n">
        <v>46330</v>
      </c>
      <c r="H32" s="7">
        <f>G32-F32+1</f>
        <v/>
      </c>
      <c r="I32" s="5" t="inlineStr">
        <is>
          <t>A2 (D), A3 (D), A4 (D), C4 (E)</t>
        </is>
      </c>
      <c r="J32" s="7" t="n">
        <v>0</v>
      </c>
      <c r="K32" s="15" t="inlineStr">
        <is>
          <t>Yes</t>
        </is>
      </c>
      <c r="L32" s="6" t="n">
        <v>46348</v>
      </c>
      <c r="M32" s="7">
        <f>IF(L32="","",L32-G32)</f>
        <v/>
      </c>
    </row>
    <row r="33">
      <c r="A33" s="4" t="inlineStr">
        <is>
          <t>E</t>
        </is>
      </c>
      <c r="B33" s="4" t="inlineStr">
        <is>
          <t>C3</t>
        </is>
      </c>
      <c r="C33" s="5" t="inlineStr">
        <is>
          <t>Staff ListCars controller</t>
        </is>
      </c>
      <c r="D33" s="15" t="inlineStr">
        <is>
          <t>S</t>
        </is>
      </c>
      <c r="E33" s="7" t="n">
        <v>2</v>
      </c>
      <c r="F33" s="6" t="n">
        <v>46318</v>
      </c>
      <c r="G33" s="6" t="n">
        <v>46318</v>
      </c>
      <c r="H33" s="7">
        <f>G33-F33+1</f>
        <v/>
      </c>
      <c r="I33" s="5" t="inlineStr">
        <is>
          <t>F5 (A), F3 (A)</t>
        </is>
      </c>
      <c r="J33" s="7" t="n">
        <v>3</v>
      </c>
      <c r="K33" s="15" t="inlineStr">
        <is>
          <t>No</t>
        </is>
      </c>
      <c r="L33" s="6" t="n">
        <v>46333</v>
      </c>
      <c r="M33" s="7">
        <f>IF(L33="","",L33-G33)</f>
        <v/>
      </c>
    </row>
    <row r="34">
      <c r="A34" s="4" t="inlineStr">
        <is>
          <t>E</t>
        </is>
      </c>
      <c r="B34" s="4" t="inlineStr">
        <is>
          <t>C4</t>
        </is>
      </c>
      <c r="C34" s="5" t="inlineStr">
        <is>
          <t>AddCar controller, DTO and mapper</t>
        </is>
      </c>
      <c r="D34" s="15" t="inlineStr">
        <is>
          <t>L</t>
        </is>
      </c>
      <c r="E34" s="7" t="n">
        <v>8</v>
      </c>
      <c r="F34" s="6" t="n">
        <v>46319</v>
      </c>
      <c r="G34" s="6" t="n">
        <v>46322</v>
      </c>
      <c r="H34" s="7">
        <f>G34-F34+1</f>
        <v/>
      </c>
      <c r="I34" s="5" t="inlineStr">
        <is>
          <t>F4 (B), F5 (A), F3 (A)</t>
        </is>
      </c>
      <c r="J34" s="7" t="n">
        <v>3</v>
      </c>
      <c r="K34" s="15" t="inlineStr">
        <is>
          <t>No</t>
        </is>
      </c>
      <c r="L34" s="6" t="n">
        <v>46347</v>
      </c>
      <c r="M34" s="7">
        <f>IF(L34="","",L34-G34)</f>
        <v/>
      </c>
    </row>
    <row r="35">
      <c r="A35" s="4" t="inlineStr">
        <is>
          <t>E</t>
        </is>
      </c>
      <c r="B35" s="4" t="inlineStr">
        <is>
          <t>C6</t>
        </is>
      </c>
      <c r="C35" s="5" t="inlineStr">
        <is>
          <t>DeleteCar controller</t>
        </is>
      </c>
      <c r="D35" s="15" t="inlineStr">
        <is>
          <t>S</t>
        </is>
      </c>
      <c r="E35" s="7" t="n">
        <v>2</v>
      </c>
      <c r="F35" s="6" t="n">
        <v>46323</v>
      </c>
      <c r="G35" s="6" t="n">
        <v>46323</v>
      </c>
      <c r="H35" s="7">
        <f>G35-F35+1</f>
        <v/>
      </c>
      <c r="I35" s="5" t="inlineStr">
        <is>
          <t>F5 (A), F3 (A)</t>
        </is>
      </c>
      <c r="J35" s="7" t="n">
        <v>3</v>
      </c>
      <c r="K35" s="15" t="inlineStr">
        <is>
          <t>No</t>
        </is>
      </c>
      <c r="L35" s="6" t="n">
        <v>46355</v>
      </c>
      <c r="M35" s="7">
        <f>IF(L35="","",L35-G35)</f>
        <v/>
      </c>
    </row>
    <row r="36">
      <c r="A36" s="4" t="inlineStr">
        <is>
          <t>E</t>
        </is>
      </c>
      <c r="B36" s="4" t="inlineStr">
        <is>
          <t>C5</t>
        </is>
      </c>
      <c r="C36" s="5" t="inlineStr">
        <is>
          <t>EditCar controller</t>
        </is>
      </c>
      <c r="D36" s="15" t="inlineStr">
        <is>
          <t>M</t>
        </is>
      </c>
      <c r="E36" s="7" t="n">
        <v>4</v>
      </c>
      <c r="F36" s="6" t="n">
        <v>46324</v>
      </c>
      <c r="G36" s="6" t="n">
        <v>46325</v>
      </c>
      <c r="H36" s="7">
        <f>G36-F36+1</f>
        <v/>
      </c>
      <c r="I36" s="5" t="inlineStr">
        <is>
          <t>C4 (E)</t>
        </is>
      </c>
      <c r="J36" s="7" t="n">
        <v>3</v>
      </c>
      <c r="K36" s="15" t="inlineStr">
        <is>
          <t>No</t>
        </is>
      </c>
      <c r="L36" s="6" t="n">
        <v>46351</v>
      </c>
      <c r="M36" s="7">
        <f>IF(L36="","",L36-G36)</f>
        <v/>
      </c>
    </row>
    <row r="37">
      <c r="A37" s="4" t="inlineStr">
        <is>
          <t>E</t>
        </is>
      </c>
      <c r="B37" s="4" t="inlineStr">
        <is>
          <t>Q6</t>
        </is>
      </c>
      <c r="C37" s="5" t="inlineStr">
        <is>
          <t>Sprint 7 test with the front end: edit, delete, return</t>
        </is>
      </c>
      <c r="D37" s="15" t="inlineStr">
        <is>
          <t>M</t>
        </is>
      </c>
      <c r="E37" s="7" t="n">
        <v>4</v>
      </c>
      <c r="F37" s="6" t="n">
        <v>46329</v>
      </c>
      <c r="G37" s="6" t="n">
        <v>46330</v>
      </c>
      <c r="H37" s="7">
        <f>G37-F37+1</f>
        <v/>
      </c>
      <c r="I37" s="5" t="inlineStr">
        <is>
          <t>C5 (E), C6 (E), A5 (D), P5 (B)</t>
        </is>
      </c>
      <c r="J37" s="7" t="n">
        <v>0</v>
      </c>
      <c r="K37" s="15" t="inlineStr">
        <is>
          <t>Yes</t>
        </is>
      </c>
      <c r="L37" s="6" t="n">
        <v>46358</v>
      </c>
      <c r="M37" s="7">
        <f>IF(L37="","",L37-G37)</f>
        <v/>
      </c>
    </row>
    <row r="38">
      <c r="A38" s="4" t="inlineStr">
        <is>
          <t>F</t>
        </is>
      </c>
      <c r="B38" s="4" t="inlineStr">
        <is>
          <t>P3</t>
        </is>
      </c>
      <c r="C38" s="5" t="inlineStr">
        <is>
          <t>ListCustomers controller and DTO</t>
        </is>
      </c>
      <c r="D38" s="15" t="inlineStr">
        <is>
          <t>M</t>
        </is>
      </c>
      <c r="E38" s="7" t="n">
        <v>4</v>
      </c>
      <c r="F38" s="6" t="n">
        <v>46319</v>
      </c>
      <c r="G38" s="6" t="n">
        <v>46320</v>
      </c>
      <c r="H38" s="7">
        <f>G38-F38+1</f>
        <v/>
      </c>
      <c r="I38" s="5" t="inlineStr">
        <is>
          <t>F6 (A), F3 (A)</t>
        </is>
      </c>
      <c r="J38" s="7" t="n">
        <v>5</v>
      </c>
      <c r="K38" s="15" t="inlineStr">
        <is>
          <t>No</t>
        </is>
      </c>
      <c r="L38" s="6" t="n">
        <v>46331</v>
      </c>
      <c r="M38" s="7">
        <f>IF(L38="","",L38-G38)</f>
        <v/>
      </c>
    </row>
    <row r="39">
      <c r="A39" s="4" t="inlineStr">
        <is>
          <t>F</t>
        </is>
      </c>
      <c r="B39" s="4" t="inlineStr">
        <is>
          <t>P4</t>
        </is>
      </c>
      <c r="C39" s="5" t="inlineStr">
        <is>
          <t>VerifyLicense endpoint (staff)</t>
        </is>
      </c>
      <c r="D39" s="15" t="inlineStr">
        <is>
          <t>S</t>
        </is>
      </c>
      <c r="E39" s="7" t="n">
        <v>2</v>
      </c>
      <c r="F39" s="6" t="n">
        <v>46321</v>
      </c>
      <c r="G39" s="6" t="n">
        <v>46321</v>
      </c>
      <c r="H39" s="7">
        <f>G39-F39+1</f>
        <v/>
      </c>
      <c r="I39" s="5" t="inlineStr">
        <is>
          <t>F6 (A), F3 (A), F1 (A)</t>
        </is>
      </c>
      <c r="J39" s="7" t="n">
        <v>5</v>
      </c>
      <c r="K39" s="15" t="inlineStr">
        <is>
          <t>No</t>
        </is>
      </c>
      <c r="L39" s="6" t="n">
        <v>46332</v>
      </c>
      <c r="M39" s="7">
        <f>IF(L39="","",L39-G39)</f>
        <v/>
      </c>
    </row>
    <row r="40">
      <c r="A40" s="4" t="inlineStr">
        <is>
          <t>F</t>
        </is>
      </c>
      <c r="B40" s="4" t="inlineStr">
        <is>
          <t>M2</t>
        </is>
      </c>
      <c r="C40" s="5" t="inlineStr">
        <is>
          <t>ListPayments controller, DTO and mapper</t>
        </is>
      </c>
      <c r="D40" s="15" t="inlineStr">
        <is>
          <t>M</t>
        </is>
      </c>
      <c r="E40" s="7" t="n">
        <v>4</v>
      </c>
      <c r="F40" s="6" t="n">
        <v>46322</v>
      </c>
      <c r="G40" s="6" t="n">
        <v>46323</v>
      </c>
      <c r="H40" s="7">
        <f>G40-F40+1</f>
        <v/>
      </c>
      <c r="I40" s="5" t="inlineStr">
        <is>
          <t>F6 (A), F3 (A), M1 (C)</t>
        </is>
      </c>
      <c r="J40" s="7" t="n">
        <v>5</v>
      </c>
      <c r="K40" s="15" t="inlineStr">
        <is>
          <t>No</t>
        </is>
      </c>
      <c r="L40" s="6" t="n">
        <v>46337</v>
      </c>
      <c r="M40" s="7">
        <f>IF(L40="","",L40-G40)</f>
        <v/>
      </c>
    </row>
    <row r="41">
      <c r="A41" s="4" t="inlineStr">
        <is>
          <t>F</t>
        </is>
      </c>
      <c r="B41" s="4" t="inlineStr">
        <is>
          <t>Q4</t>
        </is>
      </c>
      <c r="C41" s="5" t="inlineStr">
        <is>
          <t>Sprint 5 test with the front end: staff lists</t>
        </is>
      </c>
      <c r="D41" s="15" t="inlineStr">
        <is>
          <t>M</t>
        </is>
      </c>
      <c r="E41" s="7" t="n">
        <v>4</v>
      </c>
      <c r="F41" s="6" t="n">
        <v>46325</v>
      </c>
      <c r="G41" s="6" t="n">
        <v>46326</v>
      </c>
      <c r="H41" s="7">
        <f>G41-F41+1</f>
        <v/>
      </c>
      <c r="I41" s="5" t="inlineStr">
        <is>
          <t>P3 (F), C3 (E), A1 (D), M2 (F)</t>
        </is>
      </c>
      <c r="J41" s="7" t="n">
        <v>4</v>
      </c>
      <c r="K41" s="15" t="inlineStr">
        <is>
          <t>No</t>
        </is>
      </c>
      <c r="L41" s="6" t="n">
        <v>46338</v>
      </c>
      <c r="M41" s="7">
        <f>IF(L41="","",L41-G41)</f>
        <v/>
      </c>
    </row>
    <row r="42">
      <c r="A42" s="4" t="inlineStr">
        <is>
          <t>F</t>
        </is>
      </c>
      <c r="B42" s="4" t="inlineStr">
        <is>
          <t>Q7</t>
        </is>
      </c>
      <c r="C42" s="5" t="inlineStr">
        <is>
          <t>Final test of the whole system and bug fixing</t>
        </is>
      </c>
      <c r="D42" s="15" t="inlineStr">
        <is>
          <t>L</t>
        </is>
      </c>
      <c r="E42" s="7" t="n">
        <v>8</v>
      </c>
      <c r="F42" s="6" t="n">
        <v>46331</v>
      </c>
      <c r="G42" s="6" t="n">
        <v>46334</v>
      </c>
      <c r="H42" s="7">
        <f>G42-F42+1</f>
        <v/>
      </c>
      <c r="I42" s="5" t="inlineStr">
        <is>
          <t>Q2 (A), Q3 (C), Q4 (F), Q5 (D), Q6 (E)</t>
        </is>
      </c>
      <c r="J42" s="7" t="n">
        <v>0</v>
      </c>
      <c r="K42" s="15" t="inlineStr">
        <is>
          <t>Yes</t>
        </is>
      </c>
      <c r="L42" s="6" t="n">
        <v>46381</v>
      </c>
      <c r="M42" s="7">
        <f>IF(L42="","",L42-G42)</f>
        <v/>
      </c>
    </row>
  </sheetData>
  <autoFilter ref="A4:M42"/>
  <conditionalFormatting sqref="A5:M42">
    <cfRule type="expression" priority="1" dxfId="1">
      <formula>$K5="Yes"</formula>
    </cfRule>
  </conditionalFormatting>
  <conditionalFormatting sqref="M5:M42">
    <cfRule type="expression" priority="2" dxfId="2">
      <formula>AND($M5&lt;&gt;"",$M5&lt;0)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11" customWidth="1" min="4" max="4"/>
    <col width="9" customWidth="1" min="5" max="5"/>
    <col width="8" customWidth="1" min="6" max="6"/>
    <col width="10" customWidth="1" min="7" max="7"/>
    <col width="70" customWidth="1" min="8" max="8"/>
  </cols>
  <sheetData>
    <row r="1">
      <c r="A1" s="1" t="inlineStr">
        <is>
          <t>Wayfare: risk register</t>
        </is>
      </c>
    </row>
    <row r="2">
      <c r="A2" s="2" t="inlineStr">
        <is>
          <t>Edit only the shaded Likelihood and Impact cells (1 = low, 3 = high). Rating = Likelihood x Impact; 6 or more is High, 3 to 4 is Medium, below 3 is Low. The team leader reviews this sheet every week.</t>
        </is>
      </c>
    </row>
    <row r="4" ht="20" customHeight="1">
      <c r="A4" s="3" t="inlineStr">
        <is>
          <t>ID</t>
        </is>
      </c>
      <c r="B4" s="3" t="inlineStr">
        <is>
          <t>Risk</t>
        </is>
      </c>
      <c r="C4" s="3" t="inlineStr">
        <is>
          <t>Cause</t>
        </is>
      </c>
      <c r="D4" s="3" t="inlineStr">
        <is>
          <t>Likelihood</t>
        </is>
      </c>
      <c r="E4" s="3" t="inlineStr">
        <is>
          <t>Impact</t>
        </is>
      </c>
      <c r="F4" s="3" t="inlineStr">
        <is>
          <t>Rating</t>
        </is>
      </c>
      <c r="G4" s="3" t="inlineStr">
        <is>
          <t>Level</t>
        </is>
      </c>
      <c r="H4" s="3" t="inlineStr">
        <is>
          <t>Prevention and fallback</t>
        </is>
      </c>
    </row>
    <row r="5">
      <c r="A5" s="4" t="inlineStr">
        <is>
          <t>R1</t>
        </is>
      </c>
      <c r="B5" s="5" t="inlineStr">
        <is>
          <t>A team member drops out or is away</t>
        </is>
      </c>
      <c r="C5" s="5" t="inlineStr">
        <is>
          <t>7 people, exams, other courses</t>
        </is>
      </c>
      <c r="D5" s="19" t="n">
        <v>2</v>
      </c>
      <c r="E5" s="19" t="n">
        <v>3</v>
      </c>
      <c r="F5" s="7">
        <f>D5*E5</f>
        <v/>
      </c>
      <c r="G5" s="15">
        <f>IF(F5&gt;=6,"High",IF(F5&gt;=3,"Medium","Low"))</f>
        <v/>
      </c>
      <c r="H5" s="5" t="inlineStr">
        <is>
          <t>Whole-team cards carry every name, and notes and code stay in shared places, so another member can pick up any card.</t>
        </is>
      </c>
    </row>
    <row r="6">
      <c r="A6" s="4" t="inlineStr">
        <is>
          <t>R2</t>
        </is>
      </c>
      <c r="B6" s="5" t="inlineStr">
        <is>
          <t>Scope creep</t>
        </is>
      </c>
      <c r="C6" s="5" t="inlineStr">
        <is>
          <t>New features keep arriving</t>
        </is>
      </c>
      <c r="D6" s="19" t="n">
        <v>3</v>
      </c>
      <c r="E6" s="19" t="n">
        <v>2</v>
      </c>
      <c r="F6" s="7">
        <f>D6*E6</f>
        <v/>
      </c>
      <c r="G6" s="15">
        <f>IF(F6&gt;=6,"High",IF(F6&gt;=3,"Medium","Low"))</f>
        <v/>
      </c>
      <c r="H6" s="5" t="inlineStr">
        <is>
          <t>The scope is the endpoint list agreed in Sprint 2. New ideas wait for a later sprint and need a change request.</t>
        </is>
      </c>
    </row>
    <row r="7">
      <c r="A7" s="4" t="inlineStr">
        <is>
          <t>R3</t>
        </is>
      </c>
      <c r="B7" s="5" t="inlineStr">
        <is>
          <t>Front end and back end do not match</t>
        </is>
      </c>
      <c r="C7" s="5" t="inlineStr">
        <is>
          <t>Different field names or formats</t>
        </is>
      </c>
      <c r="D7" s="19" t="n">
        <v>3</v>
      </c>
      <c r="E7" s="19" t="n">
        <v>2</v>
      </c>
      <c r="F7" s="7">
        <f>D7*E7</f>
        <v/>
      </c>
      <c r="G7" s="15">
        <f>IF(F7&gt;=6,"High",IF(F7&gt;=3,"Medium","Low"))</f>
        <v/>
      </c>
      <c r="H7" s="5" t="inlineStr">
        <is>
          <t>The endpoint list was written in Sprint 2, DTOs keep the front end's field names, and Sprints 3 to 7 each have a Testing with Frontend card.</t>
        </is>
      </c>
    </row>
    <row r="8">
      <c r="A8" s="4" t="inlineStr">
        <is>
          <t>R4</t>
        </is>
      </c>
      <c r="B8" s="5" t="inlineStr">
        <is>
          <t>Double booking bug</t>
        </is>
      </c>
      <c r="C8" s="5" t="inlineStr">
        <is>
          <t>Two customers get the same car</t>
        </is>
      </c>
      <c r="D8" s="19" t="n">
        <v>2</v>
      </c>
      <c r="E8" s="19" t="n">
        <v>3</v>
      </c>
      <c r="F8" s="7">
        <f>D8*E8</f>
        <v/>
      </c>
      <c r="G8" s="15">
        <f>IF(F8&gt;=6,"High",IF(F8&gt;=3,"Medium","Low"))</f>
        <v/>
      </c>
      <c r="H8" s="5" t="inlineStr">
        <is>
          <t>Overlaps are checked in the back end when a rental request is saved (Sprint 4), not only on screen, and retested in Sprint 8.</t>
        </is>
      </c>
    </row>
    <row r="9">
      <c r="A9" s="4" t="inlineStr">
        <is>
          <t>R5</t>
        </is>
      </c>
      <c r="B9" s="5" t="inlineStr">
        <is>
          <t>Schedule slips</t>
        </is>
      </c>
      <c r="C9" s="5" t="inlineStr">
        <is>
          <t>Late cards push testing out</t>
        </is>
      </c>
      <c r="D9" s="19" t="n">
        <v>3</v>
      </c>
      <c r="E9" s="19" t="n">
        <v>3</v>
      </c>
      <c r="F9" s="7">
        <f>D9*E9</f>
        <v/>
      </c>
      <c r="G9" s="15">
        <f>IF(F9&gt;=6,"High",IF(F9&gt;=3,"Medium","Low"))</f>
        <v/>
      </c>
      <c r="H9" s="5" t="inlineStr">
        <is>
          <t>Card due dates are checked every week. Sprint 8 gives 24 days for final testing and fixes. Low-value features are cut first.</t>
        </is>
      </c>
    </row>
    <row r="10">
      <c r="A10" s="4" t="inlineStr">
        <is>
          <t>R6</t>
        </is>
      </c>
      <c r="B10" s="5" t="inlineStr">
        <is>
          <t>Poor communication</t>
        </is>
      </c>
      <c r="C10" s="5" t="inlineStr">
        <is>
          <t>Messages missed in a big group</t>
        </is>
      </c>
      <c r="D10" s="19" t="n">
        <v>2</v>
      </c>
      <c r="E10" s="19" t="n">
        <v>2</v>
      </c>
      <c r="F10" s="7">
        <f>D10*E10</f>
        <v/>
      </c>
      <c r="G10" s="15">
        <f>IF(F10&gt;=6,"High",IF(F10&gt;=3,"Medium","Low"))</f>
        <v/>
      </c>
      <c r="H10" s="5" t="inlineStr">
        <is>
          <t>One group chat for quick talk, one Teams channel for decisions. Decisions are written in the notes, not only said.</t>
        </is>
      </c>
    </row>
    <row r="11">
      <c r="A11" s="4" t="inlineStr">
        <is>
          <t>R7</t>
        </is>
      </c>
      <c r="B11" s="5" t="inlineStr">
        <is>
          <t>Lost code or data</t>
        </is>
      </c>
      <c r="C11" s="5" t="inlineStr">
        <is>
          <t>Bad merge, deleted files</t>
        </is>
      </c>
      <c r="D11" s="19" t="n">
        <v>1</v>
      </c>
      <c r="E11" s="19" t="n">
        <v>3</v>
      </c>
      <c r="F11" s="7">
        <f>D11*E11</f>
        <v/>
      </c>
      <c r="G11" s="15">
        <f>IF(F11&gt;=6,"High",IF(F11&gt;=3,"Medium","Low"))</f>
        <v/>
      </c>
      <c r="H11" s="5" t="inlineStr">
        <is>
          <t>All code lives in the team GitHub repository set up in Sprint 1, with reviewed merges to main. Weekly database backup.</t>
        </is>
      </c>
    </row>
    <row r="12">
      <c r="A12" s="4" t="inlineStr">
        <is>
          <t>R8</t>
        </is>
      </c>
      <c r="B12" s="5" t="inlineStr">
        <is>
          <t>Security weakness</t>
        </is>
      </c>
      <c r="C12" s="5" t="inlineStr">
        <is>
          <t>Passwords and license data</t>
        </is>
      </c>
      <c r="D12" s="19" t="n">
        <v>2</v>
      </c>
      <c r="E12" s="19" t="n">
        <v>3</v>
      </c>
      <c r="F12" s="7">
        <f>D12*E12</f>
        <v/>
      </c>
      <c r="G12" s="15">
        <f>IF(F12&gt;=6,"High",IF(F12&gt;=3,"Medium","Low"))</f>
        <v/>
      </c>
      <c r="H12" s="5" t="inlineStr">
        <is>
          <t>ASP.NET Core Identity and JWT in Sprint 3, role checks on every admin endpoint, input validation, retested in Sprint 8.</t>
        </is>
      </c>
    </row>
    <row r="13">
      <c r="A13" s="4" t="inlineStr">
        <is>
          <t>R9</t>
        </is>
      </c>
      <c r="B13" s="5" t="inlineStr">
        <is>
          <t>Bugs found too late</t>
        </is>
      </c>
      <c r="C13" s="5" t="inlineStr">
        <is>
          <t>Testing left to the end</t>
        </is>
      </c>
      <c r="D13" s="19" t="n">
        <v>2</v>
      </c>
      <c r="E13" s="19" t="n">
        <v>2</v>
      </c>
      <c r="F13" s="7">
        <f>D13*E13</f>
        <v/>
      </c>
      <c r="G13" s="15">
        <f>IF(F13&gt;=6,"High",IF(F13&gt;=3,"Medium","Low"))</f>
        <v/>
      </c>
      <c r="H13" s="5" t="inlineStr">
        <is>
          <t>Every sprint from Sprint 2 has its own bug-fixing card, and testing with the front end starts in Sprint 3.</t>
        </is>
      </c>
    </row>
    <row r="14">
      <c r="A14" s="4" t="inlineStr">
        <is>
          <t>R10</t>
        </is>
      </c>
      <c r="B14" s="5" t="inlineStr">
        <is>
          <t>Works on one laptop only</t>
        </is>
      </c>
      <c r="C14" s="5" t="inlineStr">
        <is>
          <t>Different setups</t>
        </is>
      </c>
      <c r="D14" s="19" t="n">
        <v>2</v>
      </c>
      <c r="E14" s="19" t="n">
        <v>1</v>
      </c>
      <c r="F14" s="7">
        <f>D14*E14</f>
        <v/>
      </c>
      <c r="G14" s="15">
        <f>IF(F14&gt;=6,"High",IF(F14&gt;=3,"Medium","Low"))</f>
        <v/>
      </c>
      <c r="H14" s="5" t="inlineStr">
        <is>
          <t>The web stack, project structure and NuGet packages were agreed in Sprints 1 and 2. Setup steps go in the README.</t>
        </is>
      </c>
    </row>
  </sheetData>
  <conditionalFormatting sqref="G5:G14">
    <cfRule type="expression" priority="1" dxfId="3">
      <formula>$G5="High"</formula>
    </cfRule>
    <cfRule type="expression" priority="2" dxfId="4">
      <formula>$G5="Medium"</formula>
    </cfRule>
    <cfRule type="expression" priority="3" dxfId="5">
      <formula>$G5="Low"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</cols>
  <sheetData>
    <row r="1">
      <c r="A1" s="1" t="inlineStr">
        <is>
          <t>Wayfare: team</t>
        </is>
      </c>
    </row>
    <row r="2">
      <c r="A2" s="2" t="inlineStr">
        <is>
          <t>Seven members. Names on each Trello card show who works on it.</t>
        </is>
      </c>
    </row>
    <row r="4" ht="20" customHeight="1">
      <c r="A4" s="3" t="inlineStr">
        <is>
          <t>#</t>
        </is>
      </c>
      <c r="B4" s="3" t="inlineStr">
        <is>
          <t>Name</t>
        </is>
      </c>
      <c r="C4" s="3" t="inlineStr">
        <is>
          <t>Role</t>
        </is>
      </c>
    </row>
    <row r="5">
      <c r="A5" s="7" t="n">
        <v>1</v>
      </c>
      <c r="B5" s="4" t="inlineStr">
        <is>
          <t>Abdelrahman Hany</t>
        </is>
      </c>
      <c r="C5" s="4" t="inlineStr">
        <is>
          <t>Team leader</t>
        </is>
      </c>
    </row>
    <row r="6">
      <c r="A6" s="7" t="n">
        <v>2</v>
      </c>
      <c r="B6" s="4" t="inlineStr">
        <is>
          <t>Kerollos Romany</t>
        </is>
      </c>
      <c r="C6" s="4" t="inlineStr">
        <is>
          <t>Team member</t>
        </is>
      </c>
    </row>
    <row r="7">
      <c r="A7" s="7" t="n">
        <v>3</v>
      </c>
      <c r="B7" s="4" t="inlineStr">
        <is>
          <t>Mina Maher</t>
        </is>
      </c>
      <c r="C7" s="4" t="inlineStr">
        <is>
          <t>Team member</t>
        </is>
      </c>
    </row>
    <row r="8">
      <c r="A8" s="7" t="n">
        <v>4</v>
      </c>
      <c r="B8" s="4" t="inlineStr">
        <is>
          <t>Samuel Mokhles</t>
        </is>
      </c>
      <c r="C8" s="4" t="inlineStr">
        <is>
          <t>Team member</t>
        </is>
      </c>
    </row>
    <row r="9">
      <c r="A9" s="7" t="n">
        <v>5</v>
      </c>
      <c r="B9" s="4" t="inlineStr">
        <is>
          <t>Matthew Ashraf</t>
        </is>
      </c>
      <c r="C9" s="4" t="inlineStr">
        <is>
          <t>Team member</t>
        </is>
      </c>
    </row>
    <row r="10">
      <c r="A10" s="7" t="n">
        <v>6</v>
      </c>
      <c r="B10" s="4" t="inlineStr">
        <is>
          <t>Marwan Mohamed</t>
        </is>
      </c>
      <c r="C10" s="4" t="inlineStr">
        <is>
          <t>Team member</t>
        </is>
      </c>
    </row>
    <row r="11">
      <c r="A11" s="7" t="n">
        <v>7</v>
      </c>
      <c r="B11" s="4" t="inlineStr">
        <is>
          <t>Basem Hany</t>
        </is>
      </c>
      <c r="C11" s="4" t="inlineStr">
        <is>
          <t>Team member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Wayfare project team</dc:creator>
  <dc:title>Wayfare planning workbook</dc:title>
  <dcterms:created xsi:type="dcterms:W3CDTF">2026-10-16T09:09:07Z</dcterms:created>
  <dcterms:modified xsi:type="dcterms:W3CDTF">2026-10-16T09:09:07Z</dcterms:modified>
</cp:coreProperties>
</file>